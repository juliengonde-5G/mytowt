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codeName="ThisWorkbook" defaultThemeVersion="124226"/>
  <mc:AlternateContent xmlns:mc="http://schemas.openxmlformats.org/markup-compatibility/2006">
    <mc:Choice Requires="x15">
      <x15ac:absPath xmlns:x15ac="http://schemas.microsoft.com/office/spreadsheetml/2010/11/ac" url="C:\Users\Captain\Desktop\"/>
    </mc:Choice>
  </mc:AlternateContent>
  <xr:revisionPtr revIDLastSave="0" documentId="13_ncr:1_{06D77884-2AC6-4C83-8E9E-3A2F1C10580A}" xr6:coauthVersionLast="47" xr6:coauthVersionMax="47" xr10:uidLastSave="{00000000-0000-0000-0000-000000000000}"/>
  <bookViews>
    <workbookView xWindow="-120" yWindow="-120" windowWidth="29040" windowHeight="15720" xr2:uid="{6282BBDC-7B7F-4972-B1D8-10DDA37654D1}"/>
  </bookViews>
  <sheets>
    <sheet name="Data Entry" sheetId="5" r:id="rId1"/>
    <sheet name="SOF" sheetId="44" r:id="rId2"/>
    <sheet name="NOR" sheetId="4" r:id="rId3"/>
    <sheet name="NOR (MOGAS)" sheetId="25" state="hidden" r:id="rId4"/>
    <sheet name="NOR RT (MOGAS)" sheetId="27" state="hidden" r:id="rId5"/>
    <sheet name="NOR (GASOIL)" sheetId="26" state="hidden" r:id="rId6"/>
    <sheet name="NOR RT (GASOIL)" sheetId="28" state="hidden" r:id="rId7"/>
    <sheet name="NOR RT" sheetId="3" r:id="rId8"/>
    <sheet name="Holds Certificate" sheetId="57" r:id="rId9"/>
    <sheet name="KM1" sheetId="20" state="hidden" r:id="rId10"/>
    <sheet name="PUMPLOG (4)" sheetId="18" state="hidden" r:id="rId11"/>
    <sheet name="PUMPLOG (3)" sheetId="17" state="hidden" r:id="rId12"/>
    <sheet name="PUMPLOG (2)" sheetId="15" state="hidden" r:id="rId13"/>
    <sheet name="KM1 (ATLANTIS)" sheetId="23" state="hidden" r:id="rId14"/>
    <sheet name="KM1 (GERVAIS)" sheetId="24" state="hidden" r:id="rId15"/>
    <sheet name="Meeting" sheetId="37" r:id="rId16"/>
    <sheet name="Forklifts" sheetId="63" r:id="rId17"/>
    <sheet name="LOP FP" sheetId="58" r:id="rId18"/>
    <sheet name="LOP Delays" sheetId="59" r:id="rId19"/>
    <sheet name="LOP Document" sheetId="60" r:id="rId20"/>
    <sheet name="LOP Q-TY (Oxy)" sheetId="31" state="hidden" r:id="rId21"/>
    <sheet name="LOP Q-TY (G98)" sheetId="32" state="hidden" r:id="rId22"/>
    <sheet name="LOP Q-TY (BOB)" sheetId="34" state="hidden" r:id="rId23"/>
    <sheet name="LOP DELAYS (GASOLINE)" sheetId="30" state="hidden" r:id="rId24"/>
    <sheet name="LOP DELAYS (GASOIL)" sheetId="33" state="hidden" r:id="rId25"/>
    <sheet name="LOP Deadfreightg" sheetId="62" r:id="rId26"/>
    <sheet name="Other LOP" sheetId="61" r:id="rId27"/>
    <sheet name="Mate's Receipt" sheetId="49" r:id="rId28"/>
    <sheet name="PUMPLOG" sheetId="8" state="hidden" r:id="rId29"/>
    <sheet name="KEY MEETING (2)" sheetId="16"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s>
  <definedNames>
    <definedName name="ABEILLE">#REF!</definedName>
    <definedName name="abeillebrest">#REF!</definedName>
    <definedName name="ABEILLES">#REF!</definedName>
    <definedName name="ABEILLES2">#REF!</definedName>
    <definedName name="ABEILLES3">#REF!</definedName>
    <definedName name="AbeillesMRS">#REF!</definedName>
    <definedName name="aft" localSheetId="29">#REF!</definedName>
    <definedName name="aft" localSheetId="13">#REF!</definedName>
    <definedName name="aft" localSheetId="14">#REF!</definedName>
    <definedName name="aft" localSheetId="24">#REF!</definedName>
    <definedName name="aft" localSheetId="23">#REF!</definedName>
    <definedName name="aft" localSheetId="22">#REF!</definedName>
    <definedName name="aft" localSheetId="21">#REF!</definedName>
    <definedName name="aft" localSheetId="20">#REF!</definedName>
    <definedName name="aft" localSheetId="5">#REF!</definedName>
    <definedName name="aft" localSheetId="3">#REF!</definedName>
    <definedName name="aft" localSheetId="6">#REF!</definedName>
    <definedName name="aft" localSheetId="4">#REF!</definedName>
    <definedName name="aft" localSheetId="12">#REF!</definedName>
    <definedName name="aft" localSheetId="11">#REF!</definedName>
    <definedName name="aft" localSheetId="10">#REF!</definedName>
    <definedName name="aft">#REF!</definedName>
    <definedName name="arrondi_trim_inf" localSheetId="15">'[1]Trim calcul'!$F$3</definedName>
    <definedName name="arrondi_trim_inf">'[2]Trim calcul'!$F$3</definedName>
    <definedName name="arrondi_trim_sup" localSheetId="15">'[1]Trim calcul'!$F$2</definedName>
    <definedName name="arrondi_trim_sup">'[2]Trim calcul'!$F$2</definedName>
    <definedName name="Berth" localSheetId="29">[3]Main!$G$6</definedName>
    <definedName name="Berth" localSheetId="9">[3]Main!$G$6</definedName>
    <definedName name="Berth" localSheetId="13">[3]Main!$G$6</definedName>
    <definedName name="Berth" localSheetId="14">[3]Main!$G$6</definedName>
    <definedName name="Berth" localSheetId="24">[3]Main!$G$6</definedName>
    <definedName name="Berth" localSheetId="23">[3]Main!$G$6</definedName>
    <definedName name="Berth" localSheetId="22">[3]Main!$G$6</definedName>
    <definedName name="Berth" localSheetId="21">[3]Main!$G$6</definedName>
    <definedName name="Berth" localSheetId="20">[3]Main!$G$6</definedName>
    <definedName name="Berth" localSheetId="15">[4]Main!$G$6</definedName>
    <definedName name="Berth" localSheetId="5">#REF!</definedName>
    <definedName name="Berth" localSheetId="3">#REF!</definedName>
    <definedName name="Berth" localSheetId="6">#REF!</definedName>
    <definedName name="Berth" localSheetId="4">#REF!</definedName>
    <definedName name="Berth" localSheetId="28">[3]Main!$G$6</definedName>
    <definedName name="Berth" localSheetId="12">[3]Main!$G$6</definedName>
    <definedName name="Berth" localSheetId="11">[3]Main!$G$6</definedName>
    <definedName name="Berth" localSheetId="10">[3]Main!$G$6</definedName>
    <definedName name="Berth" localSheetId="1">[3]Main!$G$6</definedName>
    <definedName name="Berth">#REF!</definedName>
    <definedName name="Cargo" localSheetId="29">[3]Main!$C$7</definedName>
    <definedName name="Cargo" localSheetId="9">[3]Main!$C$7</definedName>
    <definedName name="Cargo" localSheetId="13">[3]Main!$C$7</definedName>
    <definedName name="Cargo" localSheetId="14">[3]Main!$C$7</definedName>
    <definedName name="Cargo" localSheetId="24">[3]Main!$C$7</definedName>
    <definedName name="Cargo" localSheetId="23">[3]Main!$C$7</definedName>
    <definedName name="Cargo" localSheetId="22">[3]Main!$C$7</definedName>
    <definedName name="Cargo" localSheetId="21">[3]Main!$C$7</definedName>
    <definedName name="Cargo" localSheetId="20">[3]Main!$C$7</definedName>
    <definedName name="Cargo" localSheetId="15">[4]Main!$C$7</definedName>
    <definedName name="Cargo" localSheetId="5">#REF!</definedName>
    <definedName name="Cargo" localSheetId="3">#REF!</definedName>
    <definedName name="Cargo" localSheetId="6">#REF!</definedName>
    <definedName name="Cargo" localSheetId="4">#REF!</definedName>
    <definedName name="Cargo" localSheetId="28">[3]Main!$C$7</definedName>
    <definedName name="Cargo" localSheetId="12">[3]Main!$C$7</definedName>
    <definedName name="Cargo" localSheetId="11">[3]Main!$C$7</definedName>
    <definedName name="Cargo" localSheetId="10">[3]Main!$C$7</definedName>
    <definedName name="Cargo" localSheetId="1">[3]Main!$C$7</definedName>
    <definedName name="Cargo">#REF!</definedName>
    <definedName name="CargoQty" localSheetId="29">[3]Main!$C$8</definedName>
    <definedName name="CargoQty" localSheetId="9">[3]Main!$C$8</definedName>
    <definedName name="CargoQty" localSheetId="13">[3]Main!$C$8</definedName>
    <definedName name="CargoQty" localSheetId="14">[3]Main!$C$8</definedName>
    <definedName name="CargoQty" localSheetId="24">[3]Main!$C$8</definedName>
    <definedName name="CargoQty" localSheetId="23">[3]Main!$C$8</definedName>
    <definedName name="CargoQty" localSheetId="22">[3]Main!$C$8</definedName>
    <definedName name="CargoQty" localSheetId="21">[3]Main!$C$8</definedName>
    <definedName name="CargoQty" localSheetId="20">[3]Main!$C$8</definedName>
    <definedName name="CargoQty" localSheetId="15">[4]Main!$C$8</definedName>
    <definedName name="CargoQty" localSheetId="5">#REF!</definedName>
    <definedName name="CargoQty" localSheetId="3">#REF!</definedName>
    <definedName name="CargoQty" localSheetId="6">#REF!</definedName>
    <definedName name="CargoQty" localSheetId="4">#REF!</definedName>
    <definedName name="CargoQty" localSheetId="28">[3]Main!$C$8</definedName>
    <definedName name="CargoQty" localSheetId="12">[3]Main!$C$8</definedName>
    <definedName name="CargoQty" localSheetId="11">[3]Main!$C$8</definedName>
    <definedName name="CargoQty" localSheetId="10">[3]Main!$C$8</definedName>
    <definedName name="CargoQty" localSheetId="1">[3]Main!$C$8</definedName>
    <definedName name="CargoQty">#REF!</definedName>
    <definedName name="CEName" localSheetId="29">[3]Main!$C$12</definedName>
    <definedName name="CEName" localSheetId="9">[3]Main!$C$12</definedName>
    <definedName name="CEName" localSheetId="13">[3]Main!$C$12</definedName>
    <definedName name="CEName" localSheetId="14">[3]Main!$C$12</definedName>
    <definedName name="CEName" localSheetId="24">[3]Main!$C$12</definedName>
    <definedName name="CEName" localSheetId="23">[3]Main!$C$12</definedName>
    <definedName name="CEName" localSheetId="22">[3]Main!$C$12</definedName>
    <definedName name="CEName" localSheetId="21">[3]Main!$C$12</definedName>
    <definedName name="CEName" localSheetId="20">[3]Main!$C$12</definedName>
    <definedName name="CEName" localSheetId="15">[4]Main!$C$12</definedName>
    <definedName name="CEName" localSheetId="5">#REF!</definedName>
    <definedName name="CEName" localSheetId="3">#REF!</definedName>
    <definedName name="CEName" localSheetId="6">#REF!</definedName>
    <definedName name="CEName" localSheetId="4">#REF!</definedName>
    <definedName name="CEName" localSheetId="28">[3]Main!$C$12</definedName>
    <definedName name="CEName" localSheetId="12">[3]Main!$C$12</definedName>
    <definedName name="CEName" localSheetId="11">[3]Main!$C$12</definedName>
    <definedName name="CEName" localSheetId="10">[3]Main!$C$12</definedName>
    <definedName name="CEName" localSheetId="1">[3]Main!$C$12</definedName>
    <definedName name="CEName">#REF!</definedName>
    <definedName name="CMName" localSheetId="29">[3]Main!$C$13</definedName>
    <definedName name="CMName" localSheetId="9">[3]Main!$C$13</definedName>
    <definedName name="CMName" localSheetId="13">[3]Main!$C$13</definedName>
    <definedName name="CMName" localSheetId="14">[3]Main!$C$13</definedName>
    <definedName name="CMName" localSheetId="24">[3]Main!$C$13</definedName>
    <definedName name="CMName" localSheetId="23">[3]Main!$C$13</definedName>
    <definedName name="CMName" localSheetId="22">[3]Main!$C$13</definedName>
    <definedName name="CMName" localSheetId="21">[3]Main!$C$13</definedName>
    <definedName name="CMName" localSheetId="20">[3]Main!$C$13</definedName>
    <definedName name="CMName" localSheetId="15">[4]Main!$C$13</definedName>
    <definedName name="CMName" localSheetId="5">#REF!</definedName>
    <definedName name="CMName" localSheetId="3">#REF!</definedName>
    <definedName name="CMName" localSheetId="6">#REF!</definedName>
    <definedName name="CMName" localSheetId="4">#REF!</definedName>
    <definedName name="CMName" localSheetId="28">[3]Main!$C$13</definedName>
    <definedName name="CMName" localSheetId="12">[3]Main!$C$13</definedName>
    <definedName name="CMName" localSheetId="11">[3]Main!$C$13</definedName>
    <definedName name="CMName" localSheetId="10">[3]Main!$C$13</definedName>
    <definedName name="CMName" localSheetId="1">[3]Main!$C$13</definedName>
    <definedName name="CMName">#REF!</definedName>
    <definedName name="CN">#REF!</definedName>
    <definedName name="CNE">#REF!</definedName>
    <definedName name="CNN">#REF!</definedName>
    <definedName name="CNNN">#REF!</definedName>
    <definedName name="CODES">#REF!</definedName>
    <definedName name="CONTRIBUTION">#REF!</definedName>
    <definedName name="Date_Of_Arrival" localSheetId="29">[3]Main!$G$8</definedName>
    <definedName name="Date_Of_Arrival" localSheetId="9">[3]Main!$G$8</definedName>
    <definedName name="Date_Of_Arrival" localSheetId="13">[3]Main!$G$8</definedName>
    <definedName name="Date_Of_Arrival" localSheetId="14">[3]Main!$G$8</definedName>
    <definedName name="Date_Of_Arrival" localSheetId="24">[3]Main!$G$8</definedName>
    <definedName name="Date_Of_Arrival" localSheetId="23">[3]Main!$G$8</definedName>
    <definedName name="Date_Of_Arrival" localSheetId="22">[3]Main!$G$8</definedName>
    <definedName name="Date_Of_Arrival" localSheetId="21">[3]Main!$G$8</definedName>
    <definedName name="Date_Of_Arrival" localSheetId="20">[3]Main!$G$8</definedName>
    <definedName name="Date_Of_Arrival" localSheetId="15">[4]Main!$G$8</definedName>
    <definedName name="Date_Of_Arrival" localSheetId="5">#REF!</definedName>
    <definedName name="Date_Of_Arrival" localSheetId="3">#REF!</definedName>
    <definedName name="Date_Of_Arrival" localSheetId="6">#REF!</definedName>
    <definedName name="Date_Of_Arrival" localSheetId="4">#REF!</definedName>
    <definedName name="Date_Of_Arrival" localSheetId="28">[3]Main!$G$8</definedName>
    <definedName name="Date_Of_Arrival" localSheetId="12">[3]Main!$G$8</definedName>
    <definedName name="Date_Of_Arrival" localSheetId="11">[3]Main!$G$8</definedName>
    <definedName name="Date_Of_Arrival" localSheetId="10">[3]Main!$G$8</definedName>
    <definedName name="Date_Of_Arrival" localSheetId="1">[3]Main!$G$8</definedName>
    <definedName name="Date_Of_Arrival">#REF!</definedName>
    <definedName name="Date_Of_Departure" localSheetId="29">#REF!</definedName>
    <definedName name="Date_Of_Departure" localSheetId="13">#REF!</definedName>
    <definedName name="Date_Of_Departure" localSheetId="14">#REF!</definedName>
    <definedName name="Date_Of_Departure" localSheetId="24">#REF!</definedName>
    <definedName name="Date_Of_Departure" localSheetId="23">#REF!</definedName>
    <definedName name="Date_Of_Departure" localSheetId="22">#REF!</definedName>
    <definedName name="Date_Of_Departure" localSheetId="21">#REF!</definedName>
    <definedName name="Date_Of_Departure" localSheetId="20">#REF!</definedName>
    <definedName name="Date_Of_Departure" localSheetId="5">#REF!</definedName>
    <definedName name="Date_Of_Departure" localSheetId="3">#REF!</definedName>
    <definedName name="Date_Of_Departure" localSheetId="6">#REF!</definedName>
    <definedName name="Date_Of_Departure" localSheetId="4">#REF!</definedName>
    <definedName name="Date_Of_Departure" localSheetId="12">#REF!</definedName>
    <definedName name="Date_Of_Departure" localSheetId="11">#REF!</definedName>
    <definedName name="Date_Of_Departure" localSheetId="10">#REF!</definedName>
    <definedName name="Date_Of_Departure">#REF!</definedName>
    <definedName name="Date_Of_NOR_Tender" localSheetId="29">[3]Main!$G$10</definedName>
    <definedName name="Date_Of_NOR_Tender" localSheetId="9">[3]Main!$G$10</definedName>
    <definedName name="Date_Of_NOR_Tender" localSheetId="13">[3]Main!$G$10</definedName>
    <definedName name="Date_Of_NOR_Tender" localSheetId="14">[3]Main!$G$10</definedName>
    <definedName name="Date_Of_NOR_Tender" localSheetId="24">[3]Main!$G$10</definedName>
    <definedName name="Date_Of_NOR_Tender" localSheetId="23">[3]Main!$G$10</definedName>
    <definedName name="Date_Of_NOR_Tender" localSheetId="22">[3]Main!$G$10</definedName>
    <definedName name="Date_Of_NOR_Tender" localSheetId="21">[3]Main!$G$10</definedName>
    <definedName name="Date_Of_NOR_Tender" localSheetId="20">[3]Main!$G$10</definedName>
    <definedName name="Date_Of_NOR_Tender" localSheetId="15">[4]Main!$G$10</definedName>
    <definedName name="Date_Of_NOR_Tender" localSheetId="5">#REF!</definedName>
    <definedName name="Date_Of_NOR_Tender" localSheetId="3">#REF!</definedName>
    <definedName name="Date_Of_NOR_Tender" localSheetId="6">#REF!</definedName>
    <definedName name="Date_Of_NOR_Tender" localSheetId="4">#REF!</definedName>
    <definedName name="Date_Of_NOR_Tender" localSheetId="28">[3]Main!$G$10</definedName>
    <definedName name="Date_Of_NOR_Tender" localSheetId="12">[3]Main!$G$10</definedName>
    <definedName name="Date_Of_NOR_Tender" localSheetId="11">[3]Main!$G$10</definedName>
    <definedName name="Date_Of_NOR_Tender" localSheetId="10">[3]Main!$G$10</definedName>
    <definedName name="Date_Of_NOR_Tender" localSheetId="1">[3]Main!$G$10</definedName>
    <definedName name="Date_Of_NOR_Tender">#REF!</definedName>
    <definedName name="Delay_Code">[5]Guidelines!$X$1:$X$41</definedName>
    <definedName name="Densité" localSheetId="15">'[1]Calcul table 54B'!$B$20</definedName>
    <definedName name="Densité">'[2]Calcul table 54B'!$B$20</definedName>
    <definedName name="densite1" localSheetId="29">#REF!</definedName>
    <definedName name="densite1" localSheetId="13">#REF!</definedName>
    <definedName name="densite1" localSheetId="14">#REF!</definedName>
    <definedName name="densite1" localSheetId="24">#REF!</definedName>
    <definedName name="densite1" localSheetId="23">#REF!</definedName>
    <definedName name="densite1" localSheetId="22">#REF!</definedName>
    <definedName name="densite1" localSheetId="21">#REF!</definedName>
    <definedName name="densite1" localSheetId="20">#REF!</definedName>
    <definedName name="densite1" localSheetId="5">#REF!</definedName>
    <definedName name="densite1" localSheetId="3">#REF!</definedName>
    <definedName name="densite1" localSheetId="6">#REF!</definedName>
    <definedName name="densite1" localSheetId="4">#REF!</definedName>
    <definedName name="densite1" localSheetId="12">#REF!</definedName>
    <definedName name="densite1" localSheetId="11">#REF!</definedName>
    <definedName name="densite1" localSheetId="10">#REF!</definedName>
    <definedName name="densite1">#REF!</definedName>
    <definedName name="densite2" localSheetId="29">#REF!</definedName>
    <definedName name="densite2" localSheetId="13">#REF!</definedName>
    <definedName name="densite2" localSheetId="14">#REF!</definedName>
    <definedName name="densite2" localSheetId="24">#REF!</definedName>
    <definedName name="densite2" localSheetId="23">#REF!</definedName>
    <definedName name="densite2" localSheetId="22">#REF!</definedName>
    <definedName name="densite2" localSheetId="21">#REF!</definedName>
    <definedName name="densite2" localSheetId="20">#REF!</definedName>
    <definedName name="densite2" localSheetId="5">#REF!</definedName>
    <definedName name="densite2" localSheetId="3">#REF!</definedName>
    <definedName name="densite2" localSheetId="6">#REF!</definedName>
    <definedName name="densite2" localSheetId="4">#REF!</definedName>
    <definedName name="densite2" localSheetId="12">#REF!</definedName>
    <definedName name="densite2" localSheetId="11">#REF!</definedName>
    <definedName name="densite2" localSheetId="10">#REF!</definedName>
    <definedName name="densite2">#REF!</definedName>
    <definedName name="densite3" localSheetId="29">#REF!</definedName>
    <definedName name="densite3" localSheetId="13">#REF!</definedName>
    <definedName name="densite3" localSheetId="14">#REF!</definedName>
    <definedName name="densite3" localSheetId="24">#REF!</definedName>
    <definedName name="densite3" localSheetId="23">#REF!</definedName>
    <definedName name="densite3" localSheetId="22">#REF!</definedName>
    <definedName name="densite3" localSheetId="21">#REF!</definedName>
    <definedName name="densite3" localSheetId="20">#REF!</definedName>
    <definedName name="densite3" localSheetId="5">#REF!</definedName>
    <definedName name="densite3" localSheetId="3">#REF!</definedName>
    <definedName name="densite3" localSheetId="6">#REF!</definedName>
    <definedName name="densite3" localSheetId="4">#REF!</definedName>
    <definedName name="densite3" localSheetId="12">#REF!</definedName>
    <definedName name="densite3" localSheetId="11">#REF!</definedName>
    <definedName name="densite3" localSheetId="10">#REF!</definedName>
    <definedName name="densite3">#REF!</definedName>
    <definedName name="densite4" localSheetId="29">#REF!</definedName>
    <definedName name="densite4" localSheetId="13">#REF!</definedName>
    <definedName name="densite4" localSheetId="14">#REF!</definedName>
    <definedName name="densite4" localSheetId="24">#REF!</definedName>
    <definedName name="densite4" localSheetId="23">#REF!</definedName>
    <definedName name="densite4" localSheetId="22">#REF!</definedName>
    <definedName name="densite4" localSheetId="21">#REF!</definedName>
    <definedName name="densite4" localSheetId="20">#REF!</definedName>
    <definedName name="densite4" localSheetId="5">#REF!</definedName>
    <definedName name="densite4" localSheetId="3">#REF!</definedName>
    <definedName name="densite4" localSheetId="6">#REF!</definedName>
    <definedName name="densite4" localSheetId="4">#REF!</definedName>
    <definedName name="densite4" localSheetId="12">#REF!</definedName>
    <definedName name="densite4" localSheetId="11">#REF!</definedName>
    <definedName name="densite4" localSheetId="10">#REF!</definedName>
    <definedName name="densite4">#REF!</definedName>
    <definedName name="densite5" localSheetId="29">#REF!</definedName>
    <definedName name="densite5" localSheetId="13">#REF!</definedName>
    <definedName name="densite5" localSheetId="14">#REF!</definedName>
    <definedName name="densite5" localSheetId="24">#REF!</definedName>
    <definedName name="densite5" localSheetId="23">#REF!</definedName>
    <definedName name="densite5" localSheetId="22">#REF!</definedName>
    <definedName name="densite5" localSheetId="21">#REF!</definedName>
    <definedName name="densite5" localSheetId="20">#REF!</definedName>
    <definedName name="densite5" localSheetId="5">#REF!</definedName>
    <definedName name="densite5" localSheetId="3">#REF!</definedName>
    <definedName name="densite5" localSheetId="6">#REF!</definedName>
    <definedName name="densite5" localSheetId="4">#REF!</definedName>
    <definedName name="densite5" localSheetId="12">#REF!</definedName>
    <definedName name="densite5" localSheetId="11">#REF!</definedName>
    <definedName name="densite5" localSheetId="10">#REF!</definedName>
    <definedName name="densite5">#REF!</definedName>
    <definedName name="densite6" localSheetId="29">#REF!</definedName>
    <definedName name="densite6" localSheetId="13">#REF!</definedName>
    <definedName name="densite6" localSheetId="14">#REF!</definedName>
    <definedName name="densite6" localSheetId="24">#REF!</definedName>
    <definedName name="densite6" localSheetId="23">#REF!</definedName>
    <definedName name="densite6" localSheetId="22">#REF!</definedName>
    <definedName name="densite6" localSheetId="21">#REF!</definedName>
    <definedName name="densite6" localSheetId="20">#REF!</definedName>
    <definedName name="densite6" localSheetId="5">#REF!</definedName>
    <definedName name="densite6" localSheetId="3">#REF!</definedName>
    <definedName name="densite6" localSheetId="6">#REF!</definedName>
    <definedName name="densite6" localSheetId="4">#REF!</definedName>
    <definedName name="densite6" localSheetId="12">#REF!</definedName>
    <definedName name="densite6" localSheetId="11">#REF!</definedName>
    <definedName name="densite6" localSheetId="10">#REF!</definedName>
    <definedName name="densite6">#REF!</definedName>
    <definedName name="densite7" localSheetId="29">#REF!</definedName>
    <definedName name="densite7" localSheetId="13">#REF!</definedName>
    <definedName name="densite7" localSheetId="14">#REF!</definedName>
    <definedName name="densite7" localSheetId="24">#REF!</definedName>
    <definedName name="densite7" localSheetId="23">#REF!</definedName>
    <definedName name="densite7" localSheetId="22">#REF!</definedName>
    <definedName name="densite7" localSheetId="21">#REF!</definedName>
    <definedName name="densite7" localSheetId="20">#REF!</definedName>
    <definedName name="densite7" localSheetId="5">#REF!</definedName>
    <definedName name="densite7" localSheetId="3">#REF!</definedName>
    <definedName name="densite7" localSheetId="6">#REF!</definedName>
    <definedName name="densite7" localSheetId="4">#REF!</definedName>
    <definedName name="densite7" localSheetId="12">#REF!</definedName>
    <definedName name="densite7" localSheetId="11">#REF!</definedName>
    <definedName name="densite7" localSheetId="10">#REF!</definedName>
    <definedName name="densite7">#REF!</definedName>
    <definedName name="densite8" localSheetId="29">#REF!</definedName>
    <definedName name="densite8" localSheetId="13">#REF!</definedName>
    <definedName name="densite8" localSheetId="14">#REF!</definedName>
    <definedName name="densite8" localSheetId="24">#REF!</definedName>
    <definedName name="densite8" localSheetId="23">#REF!</definedName>
    <definedName name="densite8" localSheetId="22">#REF!</definedName>
    <definedName name="densite8" localSheetId="21">#REF!</definedName>
    <definedName name="densite8" localSheetId="20">#REF!</definedName>
    <definedName name="densite8" localSheetId="5">#REF!</definedName>
    <definedName name="densite8" localSheetId="3">#REF!</definedName>
    <definedName name="densite8" localSheetId="6">#REF!</definedName>
    <definedName name="densite8" localSheetId="4">#REF!</definedName>
    <definedName name="densite8" localSheetId="12">#REF!</definedName>
    <definedName name="densite8" localSheetId="11">#REF!</definedName>
    <definedName name="densite8" localSheetId="10">#REF!</definedName>
    <definedName name="densite8">#REF!</definedName>
    <definedName name="EXPORT">[6]ESTIMATION!$E$2:$H$28</definedName>
    <definedName name="fore" localSheetId="29">#REF!</definedName>
    <definedName name="fore" localSheetId="13">#REF!</definedName>
    <definedName name="fore" localSheetId="14">#REF!</definedName>
    <definedName name="fore" localSheetId="24">#REF!</definedName>
    <definedName name="fore" localSheetId="23">#REF!</definedName>
    <definedName name="fore" localSheetId="22">#REF!</definedName>
    <definedName name="fore" localSheetId="21">#REF!</definedName>
    <definedName name="fore" localSheetId="20">#REF!</definedName>
    <definedName name="fore" localSheetId="5">#REF!</definedName>
    <definedName name="fore" localSheetId="3">#REF!</definedName>
    <definedName name="fore" localSheetId="6">#REF!</definedName>
    <definedName name="fore" localSheetId="4">#REF!</definedName>
    <definedName name="fore" localSheetId="12">#REF!</definedName>
    <definedName name="fore" localSheetId="11">#REF!</definedName>
    <definedName name="fore" localSheetId="10">#REF!</definedName>
    <definedName name="fore">#REF!</definedName>
    <definedName name="grade1" localSheetId="29">#REF!</definedName>
    <definedName name="grade1" localSheetId="13">#REF!</definedName>
    <definedName name="grade1" localSheetId="14">#REF!</definedName>
    <definedName name="grade1" localSheetId="24">#REF!</definedName>
    <definedName name="grade1" localSheetId="23">#REF!</definedName>
    <definedName name="grade1" localSheetId="22">#REF!</definedName>
    <definedName name="grade1" localSheetId="21">#REF!</definedName>
    <definedName name="grade1" localSheetId="20">#REF!</definedName>
    <definedName name="grade1" localSheetId="5">#REF!</definedName>
    <definedName name="grade1" localSheetId="3">#REF!</definedName>
    <definedName name="grade1" localSheetId="6">#REF!</definedName>
    <definedName name="grade1" localSheetId="4">#REF!</definedName>
    <definedName name="grade1" localSheetId="12">#REF!</definedName>
    <definedName name="grade1" localSheetId="11">#REF!</definedName>
    <definedName name="grade1" localSheetId="10">#REF!</definedName>
    <definedName name="grade1">#REF!</definedName>
    <definedName name="grade2" localSheetId="29">#REF!</definedName>
    <definedName name="grade2" localSheetId="13">#REF!</definedName>
    <definedName name="grade2" localSheetId="14">#REF!</definedName>
    <definedName name="grade2" localSheetId="24">#REF!</definedName>
    <definedName name="grade2" localSheetId="23">#REF!</definedName>
    <definedName name="grade2" localSheetId="22">#REF!</definedName>
    <definedName name="grade2" localSheetId="21">#REF!</definedName>
    <definedName name="grade2" localSheetId="20">#REF!</definedName>
    <definedName name="grade2" localSheetId="5">#REF!</definedName>
    <definedName name="grade2" localSheetId="3">#REF!</definedName>
    <definedName name="grade2" localSheetId="6">#REF!</definedName>
    <definedName name="grade2" localSheetId="4">#REF!</definedName>
    <definedName name="grade2" localSheetId="12">#REF!</definedName>
    <definedName name="grade2" localSheetId="11">#REF!</definedName>
    <definedName name="grade2" localSheetId="10">#REF!</definedName>
    <definedName name="grade2">#REF!</definedName>
    <definedName name="grade3" localSheetId="29">#REF!</definedName>
    <definedName name="grade3" localSheetId="13">#REF!</definedName>
    <definedName name="grade3" localSheetId="14">#REF!</definedName>
    <definedName name="grade3" localSheetId="24">#REF!</definedName>
    <definedName name="grade3" localSheetId="23">#REF!</definedName>
    <definedName name="grade3" localSheetId="22">#REF!</definedName>
    <definedName name="grade3" localSheetId="21">#REF!</definedName>
    <definedName name="grade3" localSheetId="20">#REF!</definedName>
    <definedName name="grade3" localSheetId="5">#REF!</definedName>
    <definedName name="grade3" localSheetId="3">#REF!</definedName>
    <definedName name="grade3" localSheetId="6">#REF!</definedName>
    <definedName name="grade3" localSheetId="4">#REF!</definedName>
    <definedName name="grade3" localSheetId="12">#REF!</definedName>
    <definedName name="grade3" localSheetId="11">#REF!</definedName>
    <definedName name="grade3" localSheetId="10">#REF!</definedName>
    <definedName name="grade3">#REF!</definedName>
    <definedName name="grade4" localSheetId="29">#REF!</definedName>
    <definedName name="grade4" localSheetId="13">#REF!</definedName>
    <definedName name="grade4" localSheetId="14">#REF!</definedName>
    <definedName name="grade4" localSheetId="24">#REF!</definedName>
    <definedName name="grade4" localSheetId="23">#REF!</definedName>
    <definedName name="grade4" localSheetId="22">#REF!</definedName>
    <definedName name="grade4" localSheetId="21">#REF!</definedName>
    <definedName name="grade4" localSheetId="20">#REF!</definedName>
    <definedName name="grade4" localSheetId="5">#REF!</definedName>
    <definedName name="grade4" localSheetId="3">#REF!</definedName>
    <definedName name="grade4" localSheetId="6">#REF!</definedName>
    <definedName name="grade4" localSheetId="4">#REF!</definedName>
    <definedName name="grade4" localSheetId="12">#REF!</definedName>
    <definedName name="grade4" localSheetId="11">#REF!</definedName>
    <definedName name="grade4" localSheetId="10">#REF!</definedName>
    <definedName name="grade4">#REF!</definedName>
    <definedName name="grade5" localSheetId="29">#REF!</definedName>
    <definedName name="grade5" localSheetId="13">#REF!</definedName>
    <definedName name="grade5" localSheetId="14">#REF!</definedName>
    <definedName name="grade5" localSheetId="24">#REF!</definedName>
    <definedName name="grade5" localSheetId="23">#REF!</definedName>
    <definedName name="grade5" localSheetId="22">#REF!</definedName>
    <definedName name="grade5" localSheetId="21">#REF!</definedName>
    <definedName name="grade5" localSheetId="20">#REF!</definedName>
    <definedName name="grade5" localSheetId="5">#REF!</definedName>
    <definedName name="grade5" localSheetId="3">#REF!</definedName>
    <definedName name="grade5" localSheetId="6">#REF!</definedName>
    <definedName name="grade5" localSheetId="4">#REF!</definedName>
    <definedName name="grade5" localSheetId="12">#REF!</definedName>
    <definedName name="grade5" localSheetId="11">#REF!</definedName>
    <definedName name="grade5" localSheetId="10">#REF!</definedName>
    <definedName name="grade5">#REF!</definedName>
    <definedName name="grade6" localSheetId="29">#REF!</definedName>
    <definedName name="grade6" localSheetId="13">#REF!</definedName>
    <definedName name="grade6" localSheetId="14">#REF!</definedName>
    <definedName name="grade6" localSheetId="24">#REF!</definedName>
    <definedName name="grade6" localSheetId="23">#REF!</definedName>
    <definedName name="grade6" localSheetId="22">#REF!</definedName>
    <definedName name="grade6" localSheetId="21">#REF!</definedName>
    <definedName name="grade6" localSheetId="20">#REF!</definedName>
    <definedName name="grade6" localSheetId="5">#REF!</definedName>
    <definedName name="grade6" localSheetId="3">#REF!</definedName>
    <definedName name="grade6" localSheetId="6">#REF!</definedName>
    <definedName name="grade6" localSheetId="4">#REF!</definedName>
    <definedName name="grade6" localSheetId="12">#REF!</definedName>
    <definedName name="grade6" localSheetId="11">#REF!</definedName>
    <definedName name="grade6" localSheetId="10">#REF!</definedName>
    <definedName name="grade6">#REF!</definedName>
    <definedName name="grade7" localSheetId="29">#REF!</definedName>
    <definedName name="grade7" localSheetId="13">#REF!</definedName>
    <definedName name="grade7" localSheetId="14">#REF!</definedName>
    <definedName name="grade7" localSheetId="24">#REF!</definedName>
    <definedName name="grade7" localSheetId="23">#REF!</definedName>
    <definedName name="grade7" localSheetId="22">#REF!</definedName>
    <definedName name="grade7" localSheetId="21">#REF!</definedName>
    <definedName name="grade7" localSheetId="20">#REF!</definedName>
    <definedName name="grade7" localSheetId="5">#REF!</definedName>
    <definedName name="grade7" localSheetId="3">#REF!</definedName>
    <definedName name="grade7" localSheetId="6">#REF!</definedName>
    <definedName name="grade7" localSheetId="4">#REF!</definedName>
    <definedName name="grade7" localSheetId="12">#REF!</definedName>
    <definedName name="grade7" localSheetId="11">#REF!</definedName>
    <definedName name="grade7" localSheetId="10">#REF!</definedName>
    <definedName name="grade7">#REF!</definedName>
    <definedName name="grade8" localSheetId="29">#REF!</definedName>
    <definedName name="grade8" localSheetId="13">#REF!</definedName>
    <definedName name="grade8" localSheetId="14">#REF!</definedName>
    <definedName name="grade8" localSheetId="24">#REF!</definedName>
    <definedName name="grade8" localSheetId="23">#REF!</definedName>
    <definedName name="grade8" localSheetId="22">#REF!</definedName>
    <definedName name="grade8" localSheetId="21">#REF!</definedName>
    <definedName name="grade8" localSheetId="20">#REF!</definedName>
    <definedName name="grade8" localSheetId="5">#REF!</definedName>
    <definedName name="grade8" localSheetId="3">#REF!</definedName>
    <definedName name="grade8" localSheetId="6">#REF!</definedName>
    <definedName name="grade8" localSheetId="4">#REF!</definedName>
    <definedName name="grade8" localSheetId="12">#REF!</definedName>
    <definedName name="grade8" localSheetId="11">#REF!</definedName>
    <definedName name="grade8" localSheetId="10">#REF!</definedName>
    <definedName name="grade8">#REF!</definedName>
    <definedName name="HFOAuxConsTot" localSheetId="29">#REF!</definedName>
    <definedName name="HFOAuxConsTot" localSheetId="13">#REF!</definedName>
    <definedName name="HFOAuxConsTot" localSheetId="14">#REF!</definedName>
    <definedName name="HFOAuxConsTot" localSheetId="24">#REF!</definedName>
    <definedName name="HFOAuxConsTot" localSheetId="23">#REF!</definedName>
    <definedName name="HFOAuxConsTot" localSheetId="22">#REF!</definedName>
    <definedName name="HFOAuxConsTot" localSheetId="21">#REF!</definedName>
    <definedName name="HFOAuxConsTot" localSheetId="20">#REF!</definedName>
    <definedName name="HFOAuxConsTot" localSheetId="5">#REF!</definedName>
    <definedName name="HFOAuxConsTot" localSheetId="3">#REF!</definedName>
    <definedName name="HFOAuxConsTot" localSheetId="6">#REF!</definedName>
    <definedName name="HFOAuxConsTot" localSheetId="4">#REF!</definedName>
    <definedName name="HFOAuxConsTot" localSheetId="12">#REF!</definedName>
    <definedName name="HFOAuxConsTot" localSheetId="11">#REF!</definedName>
    <definedName name="HFOAuxConsTot" localSheetId="10">#REF!</definedName>
    <definedName name="HFOAuxConsTot">#REF!</definedName>
    <definedName name="HFOHeatConsTot" localSheetId="29">#REF!</definedName>
    <definedName name="HFOHeatConsTot" localSheetId="13">#REF!</definedName>
    <definedName name="HFOHeatConsTot" localSheetId="14">#REF!</definedName>
    <definedName name="HFOHeatConsTot" localSheetId="24">#REF!</definedName>
    <definedName name="HFOHeatConsTot" localSheetId="23">#REF!</definedName>
    <definedName name="HFOHeatConsTot" localSheetId="22">#REF!</definedName>
    <definedName name="HFOHeatConsTot" localSheetId="21">#REF!</definedName>
    <definedName name="HFOHeatConsTot" localSheetId="20">#REF!</definedName>
    <definedName name="HFOHeatConsTot" localSheetId="5">#REF!</definedName>
    <definedName name="HFOHeatConsTot" localSheetId="3">#REF!</definedName>
    <definedName name="HFOHeatConsTot" localSheetId="6">#REF!</definedName>
    <definedName name="HFOHeatConsTot" localSheetId="4">#REF!</definedName>
    <definedName name="HFOHeatConsTot" localSheetId="12">#REF!</definedName>
    <definedName name="HFOHeatConsTot" localSheetId="11">#REF!</definedName>
    <definedName name="HFOHeatConsTot" localSheetId="10">#REF!</definedName>
    <definedName name="HFOHeatConsTot">#REF!</definedName>
    <definedName name="HFOIGSConsTot" localSheetId="29">#REF!</definedName>
    <definedName name="HFOIGSConsTot" localSheetId="13">#REF!</definedName>
    <definedName name="HFOIGSConsTot" localSheetId="14">#REF!</definedName>
    <definedName name="HFOIGSConsTot" localSheetId="24">#REF!</definedName>
    <definedName name="HFOIGSConsTot" localSheetId="23">#REF!</definedName>
    <definedName name="HFOIGSConsTot" localSheetId="22">#REF!</definedName>
    <definedName name="HFOIGSConsTot" localSheetId="21">#REF!</definedName>
    <definedName name="HFOIGSConsTot" localSheetId="20">#REF!</definedName>
    <definedName name="HFOIGSConsTot" localSheetId="5">#REF!</definedName>
    <definedName name="HFOIGSConsTot" localSheetId="3">#REF!</definedName>
    <definedName name="HFOIGSConsTot" localSheetId="6">#REF!</definedName>
    <definedName name="HFOIGSConsTot" localSheetId="4">#REF!</definedName>
    <definedName name="HFOIGSConsTot" localSheetId="12">#REF!</definedName>
    <definedName name="HFOIGSConsTot" localSheetId="11">#REF!</definedName>
    <definedName name="HFOIGSConsTot" localSheetId="10">#REF!</definedName>
    <definedName name="HFOIGSConsTot">#REF!</definedName>
    <definedName name="HFOMEConsTot" localSheetId="29">#REF!</definedName>
    <definedName name="HFOMEConsTot" localSheetId="13">#REF!</definedName>
    <definedName name="HFOMEConsTot" localSheetId="14">#REF!</definedName>
    <definedName name="HFOMEConsTot" localSheetId="24">#REF!</definedName>
    <definedName name="HFOMEConsTot" localSheetId="23">#REF!</definedName>
    <definedName name="HFOMEConsTot" localSheetId="22">#REF!</definedName>
    <definedName name="HFOMEConsTot" localSheetId="21">#REF!</definedName>
    <definedName name="HFOMEConsTot" localSheetId="20">#REF!</definedName>
    <definedName name="HFOMEConsTot" localSheetId="5">#REF!</definedName>
    <definedName name="HFOMEConsTot" localSheetId="3">#REF!</definedName>
    <definedName name="HFOMEConsTot" localSheetId="6">#REF!</definedName>
    <definedName name="HFOMEConsTot" localSheetId="4">#REF!</definedName>
    <definedName name="HFOMEConsTot" localSheetId="12">#REF!</definedName>
    <definedName name="HFOMEConsTot" localSheetId="11">#REF!</definedName>
    <definedName name="HFOMEConsTot" localSheetId="10">#REF!</definedName>
    <definedName name="HFOMEConsTot">#REF!</definedName>
    <definedName name="HFOOthConsTot" localSheetId="29">#REF!</definedName>
    <definedName name="HFOOthConsTot" localSheetId="13">#REF!</definedName>
    <definedName name="HFOOthConsTot" localSheetId="14">#REF!</definedName>
    <definedName name="HFOOthConsTot" localSheetId="24">#REF!</definedName>
    <definedName name="HFOOthConsTot" localSheetId="23">#REF!</definedName>
    <definedName name="HFOOthConsTot" localSheetId="22">#REF!</definedName>
    <definedName name="HFOOthConsTot" localSheetId="21">#REF!</definedName>
    <definedName name="HFOOthConsTot" localSheetId="20">#REF!</definedName>
    <definedName name="HFOOthConsTot" localSheetId="5">#REF!</definedName>
    <definedName name="HFOOthConsTot" localSheetId="3">#REF!</definedName>
    <definedName name="HFOOthConsTot" localSheetId="6">#REF!</definedName>
    <definedName name="HFOOthConsTot" localSheetId="4">#REF!</definedName>
    <definedName name="HFOOthConsTot" localSheetId="12">#REF!</definedName>
    <definedName name="HFOOthConsTot" localSheetId="11">#REF!</definedName>
    <definedName name="HFOOthConsTot" localSheetId="10">#REF!</definedName>
    <definedName name="HFOOthConsTot">#REF!</definedName>
    <definedName name="IMPORT">#REF!</definedName>
    <definedName name="_xlnm.Print_Titles" localSheetId="29">#REF!</definedName>
    <definedName name="_xlnm.Print_Titles" localSheetId="13">#REF!</definedName>
    <definedName name="_xlnm.Print_Titles" localSheetId="14">#REF!</definedName>
    <definedName name="_xlnm.Print_Titles" localSheetId="24">#REF!</definedName>
    <definedName name="_xlnm.Print_Titles" localSheetId="23">#REF!</definedName>
    <definedName name="_xlnm.Print_Titles" localSheetId="22">#REF!</definedName>
    <definedName name="_xlnm.Print_Titles" localSheetId="21">#REF!</definedName>
    <definedName name="_xlnm.Print_Titles" localSheetId="20">#REF!</definedName>
    <definedName name="_xlnm.Print_Titles" localSheetId="5">#REF!</definedName>
    <definedName name="_xlnm.Print_Titles" localSheetId="3">#REF!</definedName>
    <definedName name="_xlnm.Print_Titles" localSheetId="6">#REF!</definedName>
    <definedName name="_xlnm.Print_Titles" localSheetId="4">#REF!</definedName>
    <definedName name="_xlnm.Print_Titles" localSheetId="12">#REF!</definedName>
    <definedName name="_xlnm.Print_Titles" localSheetId="11">#REF!</definedName>
    <definedName name="_xlnm.Print_Titles" localSheetId="10">#REF!</definedName>
    <definedName name="_xlnm.Print_Titles" localSheetId="1">SOF!$4:$5</definedName>
    <definedName name="_xlnm.Print_Titles">#REF!</definedName>
    <definedName name="LAMANAGE">#REF!</definedName>
    <definedName name="lamanage1">#REF!</definedName>
    <definedName name="LAMANAGE2">#REF!</definedName>
    <definedName name="LAMANAGE3">#REF!</definedName>
    <definedName name="LAMANAGES">[7]CALCULAT!$R$1:$U$95</definedName>
    <definedName name="LARGEUR">#REF!</definedName>
    <definedName name="LARGNAV2015">#REF!</definedName>
    <definedName name="list" localSheetId="29">#REF!</definedName>
    <definedName name="list" localSheetId="13">#REF!</definedName>
    <definedName name="list" localSheetId="14">#REF!</definedName>
    <definedName name="list" localSheetId="24">#REF!</definedName>
    <definedName name="list" localSheetId="23">#REF!</definedName>
    <definedName name="list" localSheetId="22">#REF!</definedName>
    <definedName name="list" localSheetId="21">#REF!</definedName>
    <definedName name="list" localSheetId="20">#REF!</definedName>
    <definedName name="list" localSheetId="5">#REF!</definedName>
    <definedName name="list" localSheetId="3">#REF!</definedName>
    <definedName name="list" localSheetId="6">#REF!</definedName>
    <definedName name="list" localSheetId="4">#REF!</definedName>
    <definedName name="list" localSheetId="12">#REF!</definedName>
    <definedName name="list" localSheetId="11">#REF!</definedName>
    <definedName name="list" localSheetId="10">#REF!</definedName>
    <definedName name="list">#REF!</definedName>
    <definedName name="LONGNAV2015">#REF!</definedName>
    <definedName name="LONGUEUR">#REF!</definedName>
    <definedName name="LOPStartCell" localSheetId="29">#REF!</definedName>
    <definedName name="LOPStartCell" localSheetId="13">#REF!</definedName>
    <definedName name="LOPStartCell" localSheetId="14">#REF!</definedName>
    <definedName name="LOPStartCell" localSheetId="24">#REF!</definedName>
    <definedName name="LOPStartCell" localSheetId="23">#REF!</definedName>
    <definedName name="LOPStartCell" localSheetId="22">#REF!</definedName>
    <definedName name="LOPStartCell" localSheetId="21">#REF!</definedName>
    <definedName name="LOPStartCell" localSheetId="20">#REF!</definedName>
    <definedName name="LOPStartCell" localSheetId="5">#REF!</definedName>
    <definedName name="LOPStartCell" localSheetId="3">#REF!</definedName>
    <definedName name="LOPStartCell" localSheetId="6">#REF!</definedName>
    <definedName name="LOPStartCell" localSheetId="4">#REF!</definedName>
    <definedName name="LOPStartCell" localSheetId="12">#REF!</definedName>
    <definedName name="LOPStartCell" localSheetId="11">#REF!</definedName>
    <definedName name="LOPStartCell" localSheetId="10">#REF!</definedName>
    <definedName name="LOPStartCell" localSheetId="1">#REF!</definedName>
    <definedName name="LOPStartCell">#REF!</definedName>
    <definedName name="MasterName" localSheetId="29">[3]Main!$C$11</definedName>
    <definedName name="MasterName" localSheetId="9">[3]Main!$C$11</definedName>
    <definedName name="MasterName" localSheetId="13">[3]Main!$C$11</definedName>
    <definedName name="MasterName" localSheetId="14">[3]Main!$C$11</definedName>
    <definedName name="MasterName" localSheetId="24">[3]Main!$C$11</definedName>
    <definedName name="MasterName" localSheetId="23">[3]Main!$C$11</definedName>
    <definedName name="MasterName" localSheetId="22">[3]Main!$C$11</definedName>
    <definedName name="MasterName" localSheetId="21">[3]Main!$C$11</definedName>
    <definedName name="MasterName" localSheetId="20">[3]Main!$C$11</definedName>
    <definedName name="MasterName" localSheetId="15">[4]Main!$C$11</definedName>
    <definedName name="MasterName" localSheetId="5">#REF!</definedName>
    <definedName name="MasterName" localSheetId="3">#REF!</definedName>
    <definedName name="MasterName" localSheetId="6">#REF!</definedName>
    <definedName name="MasterName" localSheetId="4">#REF!</definedName>
    <definedName name="MasterName" localSheetId="28">[3]Main!$C$11</definedName>
    <definedName name="MasterName" localSheetId="12">[3]Main!$C$11</definedName>
    <definedName name="MasterName" localSheetId="11">[3]Main!$C$11</definedName>
    <definedName name="MasterName" localSheetId="10">[3]Main!$C$11</definedName>
    <definedName name="MasterName" localSheetId="1">[3]Main!$C$11</definedName>
    <definedName name="MasterName">#REF!</definedName>
    <definedName name="MGOConsTot" localSheetId="29">#REF!</definedName>
    <definedName name="MGOConsTot" localSheetId="13">#REF!</definedName>
    <definedName name="MGOConsTot" localSheetId="14">#REF!</definedName>
    <definedName name="MGOConsTot" localSheetId="24">#REF!</definedName>
    <definedName name="MGOConsTot" localSheetId="23">#REF!</definedName>
    <definedName name="MGOConsTot" localSheetId="22">#REF!</definedName>
    <definedName name="MGOConsTot" localSheetId="21">#REF!</definedName>
    <definedName name="MGOConsTot" localSheetId="20">#REF!</definedName>
    <definedName name="MGOConsTot" localSheetId="5">#REF!</definedName>
    <definedName name="MGOConsTot" localSheetId="3">#REF!</definedName>
    <definedName name="MGOConsTot" localSheetId="6">#REF!</definedName>
    <definedName name="MGOConsTot" localSheetId="4">#REF!</definedName>
    <definedName name="MGOConsTot" localSheetId="12">#REF!</definedName>
    <definedName name="MGOConsTot" localSheetId="11">#REF!</definedName>
    <definedName name="MGOConsTot" localSheetId="10">#REF!</definedName>
    <definedName name="MGOConsTot">#REF!</definedName>
    <definedName name="N_col_ar_inf" localSheetId="29">#REF!</definedName>
    <definedName name="N_col_ar_inf" localSheetId="13">#REF!</definedName>
    <definedName name="N_col_ar_inf" localSheetId="14">#REF!</definedName>
    <definedName name="N_col_ar_inf" localSheetId="24">#REF!</definedName>
    <definedName name="N_col_ar_inf" localSheetId="23">#REF!</definedName>
    <definedName name="N_col_ar_inf" localSheetId="22">#REF!</definedName>
    <definedName name="N_col_ar_inf" localSheetId="21">#REF!</definedName>
    <definedName name="N_col_ar_inf" localSheetId="20">#REF!</definedName>
    <definedName name="N_col_ar_inf" localSheetId="5">#REF!</definedName>
    <definedName name="N_col_ar_inf" localSheetId="3">#REF!</definedName>
    <definedName name="N_col_ar_inf" localSheetId="6">#REF!</definedName>
    <definedName name="N_col_ar_inf" localSheetId="4">#REF!</definedName>
    <definedName name="N_col_ar_inf" localSheetId="12">#REF!</definedName>
    <definedName name="N_col_ar_inf" localSheetId="11">#REF!</definedName>
    <definedName name="N_col_ar_inf" localSheetId="10">#REF!</definedName>
    <definedName name="N_col_ar_inf">#REF!</definedName>
    <definedName name="N_col_ar_sup" localSheetId="29">#REF!</definedName>
    <definedName name="N_col_ar_sup" localSheetId="13">#REF!</definedName>
    <definedName name="N_col_ar_sup" localSheetId="14">#REF!</definedName>
    <definedName name="N_col_ar_sup" localSheetId="24">#REF!</definedName>
    <definedName name="N_col_ar_sup" localSheetId="23">#REF!</definedName>
    <definedName name="N_col_ar_sup" localSheetId="22">#REF!</definedName>
    <definedName name="N_col_ar_sup" localSheetId="21">#REF!</definedName>
    <definedName name="N_col_ar_sup" localSheetId="20">#REF!</definedName>
    <definedName name="N_col_ar_sup" localSheetId="5">#REF!</definedName>
    <definedName name="N_col_ar_sup" localSheetId="3">#REF!</definedName>
    <definedName name="N_col_ar_sup" localSheetId="6">#REF!</definedName>
    <definedName name="N_col_ar_sup" localSheetId="4">#REF!</definedName>
    <definedName name="N_col_ar_sup" localSheetId="12">#REF!</definedName>
    <definedName name="N_col_ar_sup" localSheetId="11">#REF!</definedName>
    <definedName name="N_col_ar_sup" localSheetId="10">#REF!</definedName>
    <definedName name="N_col_ar_sup">#REF!</definedName>
    <definedName name="navire">[8]FLEET!#REF!</definedName>
    <definedName name="NAVIRES">[7]NAVIRES!$A$6:$P$159</definedName>
    <definedName name="NBRESCALES">[7]heliard!$N$52:$O$141</definedName>
    <definedName name="NorPrintArea" localSheetId="29">#REF!</definedName>
    <definedName name="NorPrintArea" localSheetId="9">#REF!</definedName>
    <definedName name="NorPrintArea" localSheetId="13">#REF!</definedName>
    <definedName name="NorPrintArea" localSheetId="14">#REF!</definedName>
    <definedName name="NorPrintArea" localSheetId="24">#REF!</definedName>
    <definedName name="NorPrintArea" localSheetId="23">#REF!</definedName>
    <definedName name="NorPrintArea" localSheetId="22">#REF!</definedName>
    <definedName name="NorPrintArea" localSheetId="21">#REF!</definedName>
    <definedName name="NorPrintArea" localSheetId="20">#REF!</definedName>
    <definedName name="NorPrintArea" localSheetId="15">#REF!</definedName>
    <definedName name="NorPrintArea" localSheetId="5">#REF!</definedName>
    <definedName name="NorPrintArea" localSheetId="3">#REF!</definedName>
    <definedName name="NorPrintArea" localSheetId="6">#REF!</definedName>
    <definedName name="NorPrintArea" localSheetId="4">#REF!</definedName>
    <definedName name="NorPrintArea" localSheetId="28">#REF!</definedName>
    <definedName name="NorPrintArea" localSheetId="12">#REF!</definedName>
    <definedName name="NorPrintArea" localSheetId="11">#REF!</definedName>
    <definedName name="NorPrintArea" localSheetId="10">#REF!</definedName>
    <definedName name="NorPrintArea" localSheetId="1">#REF!</definedName>
    <definedName name="NorPrintArea">#REF!</definedName>
    <definedName name="Numero_de_col_trim_inf" localSheetId="15">'[1]Trim calcul'!$G$3</definedName>
    <definedName name="Numero_de_col_trim_inf">'[2]Trim calcul'!$G$3</definedName>
    <definedName name="Numero_de_col_trim_sup" localSheetId="15">'[1]Trim calcul'!$G$2</definedName>
    <definedName name="Numero_de_col_trim_sup">'[2]Trim calcul'!$G$2</definedName>
    <definedName name="other">[6]LION!#REF!</definedName>
    <definedName name="Port">[5]Guidelines!$P$1:$P$2779</definedName>
    <definedName name="PortLogPrintArea" localSheetId="29">#REF!+#REF!</definedName>
    <definedName name="PortLogPrintArea" localSheetId="9">#REF!+#REF!</definedName>
    <definedName name="PortLogPrintArea" localSheetId="13">#REF!+#REF!</definedName>
    <definedName name="PortLogPrintArea" localSheetId="14">#REF!+#REF!</definedName>
    <definedName name="PortLogPrintArea" localSheetId="24">#REF!+#REF!</definedName>
    <definedName name="PortLogPrintArea" localSheetId="23">#REF!+#REF!</definedName>
    <definedName name="PortLogPrintArea" localSheetId="22">#REF!+#REF!</definedName>
    <definedName name="PortLogPrintArea" localSheetId="21">#REF!+#REF!</definedName>
    <definedName name="PortLogPrintArea" localSheetId="20">#REF!+#REF!</definedName>
    <definedName name="PortLogPrintArea" localSheetId="15">[4]SOF!$B$58:$K$58+[4]SOF!$B$3:$K$57</definedName>
    <definedName name="PortLogPrintArea" localSheetId="5">#REF!+#REF!</definedName>
    <definedName name="PortLogPrintArea" localSheetId="3">#REF!+#REF!</definedName>
    <definedName name="PortLogPrintArea" localSheetId="6">#REF!+#REF!</definedName>
    <definedName name="PortLogPrintArea" localSheetId="4">#REF!+#REF!</definedName>
    <definedName name="PortLogPrintArea" localSheetId="28">#REF!+#REF!</definedName>
    <definedName name="PortLogPrintArea" localSheetId="12">#REF!+#REF!</definedName>
    <definedName name="PortLogPrintArea" localSheetId="11">#REF!+#REF!</definedName>
    <definedName name="PortLogPrintArea" localSheetId="10">#REF!+#REF!</definedName>
    <definedName name="PortLogPrintArea" localSheetId="1">#REF!+#REF!</definedName>
    <definedName name="PortLogPrintArea">#REF!+#REF!</definedName>
    <definedName name="reefer">#REF!</definedName>
    <definedName name="REMORQUAGE">#REF!</definedName>
    <definedName name="ROBHFO" localSheetId="29">#REF!</definedName>
    <definedName name="ROBHFO" localSheetId="13">#REF!</definedName>
    <definedName name="ROBHFO" localSheetId="14">#REF!</definedName>
    <definedName name="ROBHFO" localSheetId="24">#REF!</definedName>
    <definedName name="ROBHFO" localSheetId="23">#REF!</definedName>
    <definedName name="ROBHFO" localSheetId="22">#REF!</definedName>
    <definedName name="ROBHFO" localSheetId="21">#REF!</definedName>
    <definedName name="ROBHFO" localSheetId="20">#REF!</definedName>
    <definedName name="ROBHFO" localSheetId="5">#REF!</definedName>
    <definedName name="ROBHFO" localSheetId="3">#REF!</definedName>
    <definedName name="ROBHFO" localSheetId="6">#REF!</definedName>
    <definedName name="ROBHFO" localSheetId="4">#REF!</definedName>
    <definedName name="ROBHFO" localSheetId="12">#REF!</definedName>
    <definedName name="ROBHFO" localSheetId="11">#REF!</definedName>
    <definedName name="ROBHFO" localSheetId="10">#REF!</definedName>
    <definedName name="ROBHFO" localSheetId="1">#REF!</definedName>
    <definedName name="ROBHFO">#REF!</definedName>
    <definedName name="ROBMGO" localSheetId="29">#REF!</definedName>
    <definedName name="ROBMGO" localSheetId="13">#REF!</definedName>
    <definedName name="ROBMGO" localSheetId="14">#REF!</definedName>
    <definedName name="ROBMGO" localSheetId="24">#REF!</definedName>
    <definedName name="ROBMGO" localSheetId="23">#REF!</definedName>
    <definedName name="ROBMGO" localSheetId="22">#REF!</definedName>
    <definedName name="ROBMGO" localSheetId="21">#REF!</definedName>
    <definedName name="ROBMGO" localSheetId="20">#REF!</definedName>
    <definedName name="ROBMGO" localSheetId="5">#REF!</definedName>
    <definedName name="ROBMGO" localSheetId="3">#REF!</definedName>
    <definedName name="ROBMGO" localSheetId="6">#REF!</definedName>
    <definedName name="ROBMGO" localSheetId="4">#REF!</definedName>
    <definedName name="ROBMGO" localSheetId="12">#REF!</definedName>
    <definedName name="ROBMGO" localSheetId="11">#REF!</definedName>
    <definedName name="ROBMGO" localSheetId="10">#REF!</definedName>
    <definedName name="ROBMGO" localSheetId="1">#REF!</definedName>
    <definedName name="ROBMGO">#REF!</definedName>
    <definedName name="ser" localSheetId="9" hidden="1">{#N/A,#N/A,TRUE,"Analysis - Lab";#N/A,#N/A,TRUE,"B.O.L.";#N/A,#N/A,TRUE,"SOF [2] ";#N/A,#N/A,TRUE,"Cleanliness";#N/A,#N/A,TRUE,"Ullage AL";#N/A,#N/A,TRUE,"VEF"}</definedName>
    <definedName name="ser" localSheetId="13" hidden="1">{#N/A,#N/A,TRUE,"Analysis - Lab";#N/A,#N/A,TRUE,"B.O.L.";#N/A,#N/A,TRUE,"SOF [2] ";#N/A,#N/A,TRUE,"Cleanliness";#N/A,#N/A,TRUE,"Ullage AL";#N/A,#N/A,TRUE,"VEF"}</definedName>
    <definedName name="ser" localSheetId="14" hidden="1">{#N/A,#N/A,TRUE,"Analysis - Lab";#N/A,#N/A,TRUE,"B.O.L.";#N/A,#N/A,TRUE,"SOF [2] ";#N/A,#N/A,TRUE,"Cleanliness";#N/A,#N/A,TRUE,"Ullage AL";#N/A,#N/A,TRUE,"VEF"}</definedName>
    <definedName name="ser" localSheetId="15" hidden="1">{#N/A,#N/A,TRUE,"Analysis - Lab";#N/A,#N/A,TRUE,"B.O.L.";#N/A,#N/A,TRUE,"SOF [2] ";#N/A,#N/A,TRUE,"Cleanliness";#N/A,#N/A,TRUE,"Ullage AL";#N/A,#N/A,TRUE,"VEF"}</definedName>
    <definedName name="ser" hidden="1">{#N/A,#N/A,TRUE,"Analysis - Lab";#N/A,#N/A,TRUE,"B.O.L.";#N/A,#N/A,TRUE,"SOF [2] ";#N/A,#N/A,TRUE,"Cleanliness";#N/A,#N/A,TRUE,"Ullage AL";#N/A,#N/A,TRUE,"VEF"}</definedName>
    <definedName name="Ship_s_TCV" localSheetId="29">#REF!</definedName>
    <definedName name="Ship_s_TCV" localSheetId="13">#REF!</definedName>
    <definedName name="Ship_s_TCV" localSheetId="14">#REF!</definedName>
    <definedName name="Ship_s_TCV" localSheetId="24">#REF!</definedName>
    <definedName name="Ship_s_TCV" localSheetId="23">#REF!</definedName>
    <definedName name="Ship_s_TCV" localSheetId="22">#REF!</definedName>
    <definedName name="Ship_s_TCV" localSheetId="21">#REF!</definedName>
    <definedName name="Ship_s_TCV" localSheetId="20">#REF!</definedName>
    <definedName name="Ship_s_TCV" localSheetId="5">#REF!</definedName>
    <definedName name="Ship_s_TCV" localSheetId="3">#REF!</definedName>
    <definedName name="Ship_s_TCV" localSheetId="6">#REF!</definedName>
    <definedName name="Ship_s_TCV" localSheetId="4">#REF!</definedName>
    <definedName name="Ship_s_TCV" localSheetId="12">#REF!</definedName>
    <definedName name="Ship_s_TCV" localSheetId="11">#REF!</definedName>
    <definedName name="Ship_s_TCV" localSheetId="10">#REF!</definedName>
    <definedName name="Ship_s_TCV">#REF!</definedName>
    <definedName name="Shore_TCV" localSheetId="29">#REF!</definedName>
    <definedName name="Shore_TCV" localSheetId="13">#REF!</definedName>
    <definedName name="Shore_TCV" localSheetId="14">#REF!</definedName>
    <definedName name="Shore_TCV" localSheetId="24">#REF!</definedName>
    <definedName name="Shore_TCV" localSheetId="23">#REF!</definedName>
    <definedName name="Shore_TCV" localSheetId="22">#REF!</definedName>
    <definedName name="Shore_TCV" localSheetId="21">#REF!</definedName>
    <definedName name="Shore_TCV" localSheetId="20">#REF!</definedName>
    <definedName name="Shore_TCV" localSheetId="5">#REF!</definedName>
    <definedName name="Shore_TCV" localSheetId="3">#REF!</definedName>
    <definedName name="Shore_TCV" localSheetId="6">#REF!</definedName>
    <definedName name="Shore_TCV" localSheetId="4">#REF!</definedName>
    <definedName name="Shore_TCV" localSheetId="12">#REF!</definedName>
    <definedName name="Shore_TCV" localSheetId="11">#REF!</definedName>
    <definedName name="Shore_TCV" localSheetId="10">#REF!</definedName>
    <definedName name="Shore_TCV">#REF!</definedName>
    <definedName name="SOFCargoBunkers" localSheetId="29">#REF!</definedName>
    <definedName name="SOFCargoBunkers" localSheetId="13">#REF!</definedName>
    <definedName name="SOFCargoBunkers" localSheetId="14">#REF!</definedName>
    <definedName name="SOFCargoBunkers" localSheetId="24">#REF!</definedName>
    <definedName name="SOFCargoBunkers" localSheetId="23">#REF!</definedName>
    <definedName name="SOFCargoBunkers" localSheetId="22">#REF!</definedName>
    <definedName name="SOFCargoBunkers" localSheetId="21">#REF!</definedName>
    <definedName name="SOFCargoBunkers" localSheetId="20">#REF!</definedName>
    <definedName name="SOFCargoBunkers" localSheetId="5">#REF!</definedName>
    <definedName name="SOFCargoBunkers" localSheetId="3">#REF!</definedName>
    <definedName name="SOFCargoBunkers" localSheetId="6">#REF!</definedName>
    <definedName name="SOFCargoBunkers" localSheetId="4">#REF!</definedName>
    <definedName name="SOFCargoBunkers" localSheetId="12">#REF!</definedName>
    <definedName name="SOFCargoBunkers" localSheetId="11">#REF!</definedName>
    <definedName name="SOFCargoBunkers" localSheetId="10">#REF!</definedName>
    <definedName name="SOFCargoBunkers" localSheetId="1">#REF!</definedName>
    <definedName name="SOFCargoBunkers">#REF!</definedName>
    <definedName name="SOFInstruction" localSheetId="29">#REF!</definedName>
    <definedName name="SOFInstruction" localSheetId="13">#REF!</definedName>
    <definedName name="SOFInstruction" localSheetId="14">#REF!</definedName>
    <definedName name="SOFInstruction" localSheetId="24">#REF!</definedName>
    <definedName name="SOFInstruction" localSheetId="23">#REF!</definedName>
    <definedName name="SOFInstruction" localSheetId="22">#REF!</definedName>
    <definedName name="SOFInstruction" localSheetId="21">#REF!</definedName>
    <definedName name="SOFInstruction" localSheetId="20">#REF!</definedName>
    <definedName name="SOFInstruction" localSheetId="5">#REF!</definedName>
    <definedName name="SOFInstruction" localSheetId="3">#REF!</definedName>
    <definedName name="SOFInstruction" localSheetId="6">#REF!</definedName>
    <definedName name="SOFInstruction" localSheetId="4">#REF!</definedName>
    <definedName name="SOFInstruction" localSheetId="12">#REF!</definedName>
    <definedName name="SOFInstruction" localSheetId="11">#REF!</definedName>
    <definedName name="SOFInstruction" localSheetId="10">#REF!</definedName>
    <definedName name="SOFInstruction" localSheetId="1">#REF!</definedName>
    <definedName name="SOFInstruction">#REF!</definedName>
    <definedName name="SOFLOPReceived" localSheetId="29">#REF!</definedName>
    <definedName name="SOFLOPReceived" localSheetId="13">#REF!</definedName>
    <definedName name="SOFLOPReceived" localSheetId="14">#REF!</definedName>
    <definedName name="SOFLOPReceived" localSheetId="24">#REF!</definedName>
    <definedName name="SOFLOPReceived" localSheetId="23">#REF!</definedName>
    <definedName name="SOFLOPReceived" localSheetId="22">#REF!</definedName>
    <definedName name="SOFLOPReceived" localSheetId="21">#REF!</definedName>
    <definedName name="SOFLOPReceived" localSheetId="20">#REF!</definedName>
    <definedName name="SOFLOPReceived" localSheetId="5">#REF!</definedName>
    <definedName name="SOFLOPReceived" localSheetId="3">#REF!</definedName>
    <definedName name="SOFLOPReceived" localSheetId="6">#REF!</definedName>
    <definedName name="SOFLOPReceived" localSheetId="4">#REF!</definedName>
    <definedName name="SOFLOPReceived" localSheetId="12">#REF!</definedName>
    <definedName name="SOFLOPReceived" localSheetId="11">#REF!</definedName>
    <definedName name="SOFLOPReceived" localSheetId="10">#REF!</definedName>
    <definedName name="SOFLOPReceived" localSheetId="1">#REF!</definedName>
    <definedName name="SOFLOPReceived">#REF!</definedName>
    <definedName name="T52grade1" localSheetId="15">'[1]Table 52'!$E$5</definedName>
    <definedName name="T52grade1">'[2]Table 52'!$E$5</definedName>
    <definedName name="T52grade2" localSheetId="15">'[1]Table 52'!$F$5</definedName>
    <definedName name="T52grade2">'[2]Table 52'!$F$5</definedName>
    <definedName name="T52grade3" localSheetId="15">'[1]Table 52'!$G$5</definedName>
    <definedName name="T52grade3">'[2]Table 52'!$G$5</definedName>
    <definedName name="T52grade4" localSheetId="15">'[1]Table 52'!$H$5</definedName>
    <definedName name="T52grade4">'[2]Table 52'!$H$5</definedName>
    <definedName name="T52grade5" localSheetId="15">'[1]Table 52'!$I$5</definedName>
    <definedName name="T52grade5">'[2]Table 52'!$I$5</definedName>
    <definedName name="T52grade6" localSheetId="15">'[1]Table 52'!$J$5</definedName>
    <definedName name="T52grade6">'[2]Table 52'!$J$5</definedName>
    <definedName name="T52grade7" localSheetId="15">'[1]Table 52'!$K$5</definedName>
    <definedName name="T52grade7">'[2]Table 52'!$K$5</definedName>
    <definedName name="T52grade8" localSheetId="15">'[1]Table 52'!$L$5</definedName>
    <definedName name="T52grade8">'[2]Table 52'!$L$5</definedName>
    <definedName name="T56grade1" localSheetId="15">'[1]Table 56'!$E$5</definedName>
    <definedName name="T56grade1">'[2]Table 56'!$E$5</definedName>
    <definedName name="T56grade2" localSheetId="15">'[1]Table 56'!$F$5</definedName>
    <definedName name="T56grade2">'[2]Table 56'!$F$5</definedName>
    <definedName name="T56grade3" localSheetId="15">'[1]Table 56'!$G$5</definedName>
    <definedName name="T56grade3">'[2]Table 56'!$G$5</definedName>
    <definedName name="T56grade4" localSheetId="15">'[1]Table 56'!$H$5</definedName>
    <definedName name="T56grade4">'[2]Table 56'!$H$5</definedName>
    <definedName name="T56grade5" localSheetId="15">'[1]Table 56'!$I$5</definedName>
    <definedName name="T56grade5">'[2]Table 56'!$I$5</definedName>
    <definedName name="T56grade6" localSheetId="15">'[1]Table 56'!$J$5</definedName>
    <definedName name="T56grade6">'[2]Table 56'!$J$5</definedName>
    <definedName name="T56grade7" localSheetId="15">'[1]Table 56'!$K$5</definedName>
    <definedName name="T56grade7">'[2]Table 56'!$K$5</definedName>
    <definedName name="T56grade8" localSheetId="15">'[1]Table 56'!$L$5</definedName>
    <definedName name="T56grade8">'[2]Table 56'!$L$5</definedName>
    <definedName name="TARIF">#REF!</definedName>
    <definedName name="Température" localSheetId="15">'[1]Calcul table 54B'!$A$20</definedName>
    <definedName name="Température">'[2]Calcul table 54B'!$A$20</definedName>
    <definedName name="Terminal" localSheetId="29">[3]Main!$G$7</definedName>
    <definedName name="Terminal" localSheetId="9">[3]Main!$G$7</definedName>
    <definedName name="Terminal" localSheetId="13">[3]Main!$G$7</definedName>
    <definedName name="Terminal" localSheetId="14">[3]Main!$G$7</definedName>
    <definedName name="Terminal" localSheetId="24">[3]Main!$G$7</definedName>
    <definedName name="Terminal" localSheetId="23">[3]Main!$G$7</definedName>
    <definedName name="Terminal" localSheetId="22">[3]Main!$G$7</definedName>
    <definedName name="Terminal" localSheetId="21">[3]Main!$G$7</definedName>
    <definedName name="Terminal" localSheetId="20">[3]Main!$G$7</definedName>
    <definedName name="Terminal" localSheetId="15">[4]Main!$G$7</definedName>
    <definedName name="Terminal" localSheetId="5">#REF!</definedName>
    <definedName name="Terminal" localSheetId="3">#REF!</definedName>
    <definedName name="Terminal" localSheetId="6">#REF!</definedName>
    <definedName name="Terminal" localSheetId="4">#REF!</definedName>
    <definedName name="Terminal" localSheetId="28">[3]Main!$G$7</definedName>
    <definedName name="Terminal" localSheetId="12">[3]Main!$G$7</definedName>
    <definedName name="Terminal" localSheetId="11">[3]Main!$G$7</definedName>
    <definedName name="Terminal" localSheetId="10">[3]Main!$G$7</definedName>
    <definedName name="Terminal" localSheetId="1">[3]Main!$G$7</definedName>
    <definedName name="Terminal">#REF!</definedName>
    <definedName name="Time_NOR_Tendered" localSheetId="29">[3]Main!$G$11</definedName>
    <definedName name="Time_NOR_Tendered" localSheetId="9">[3]Main!$G$11</definedName>
    <definedName name="Time_NOR_Tendered" localSheetId="13">[3]Main!$G$11</definedName>
    <definedName name="Time_NOR_Tendered" localSheetId="14">[3]Main!$G$11</definedName>
    <definedName name="Time_NOR_Tendered" localSheetId="24">[3]Main!$G$11</definedName>
    <definedName name="Time_NOR_Tendered" localSheetId="23">[3]Main!$G$11</definedName>
    <definedName name="Time_NOR_Tendered" localSheetId="22">[3]Main!$G$11</definedName>
    <definedName name="Time_NOR_Tendered" localSheetId="21">[3]Main!$G$11</definedName>
    <definedName name="Time_NOR_Tendered" localSheetId="20">[3]Main!$G$11</definedName>
    <definedName name="Time_NOR_Tendered" localSheetId="15">[4]Main!$G$11</definedName>
    <definedName name="Time_NOR_Tendered" localSheetId="5">#REF!</definedName>
    <definedName name="Time_NOR_Tendered" localSheetId="3">#REF!</definedName>
    <definedName name="Time_NOR_Tendered" localSheetId="6">#REF!</definedName>
    <definedName name="Time_NOR_Tendered" localSheetId="4">#REF!</definedName>
    <definedName name="Time_NOR_Tendered" localSheetId="28">[3]Main!$G$11</definedName>
    <definedName name="Time_NOR_Tendered" localSheetId="12">[3]Main!$G$11</definedName>
    <definedName name="Time_NOR_Tendered" localSheetId="11">[3]Main!$G$11</definedName>
    <definedName name="Time_NOR_Tendered" localSheetId="10">[3]Main!$G$11</definedName>
    <definedName name="Time_NOR_Tendered" localSheetId="1">[3]Main!$G$11</definedName>
    <definedName name="Time_NOR_Tendered">#REF!</definedName>
    <definedName name="Time_Of_Arrival" localSheetId="29">[3]Main!$G$9</definedName>
    <definedName name="Time_Of_Arrival" localSheetId="9">[3]Main!$G$9</definedName>
    <definedName name="Time_Of_Arrival" localSheetId="13">[3]Main!$G$9</definedName>
    <definedName name="Time_Of_Arrival" localSheetId="14">[3]Main!$G$9</definedName>
    <definedName name="Time_Of_Arrival" localSheetId="24">[3]Main!$G$9</definedName>
    <definedName name="Time_Of_Arrival" localSheetId="23">[3]Main!$G$9</definedName>
    <definedName name="Time_Of_Arrival" localSheetId="22">[3]Main!$G$9</definedName>
    <definedName name="Time_Of_Arrival" localSheetId="21">[3]Main!$G$9</definedName>
    <definedName name="Time_Of_Arrival" localSheetId="20">[3]Main!$G$9</definedName>
    <definedName name="Time_Of_Arrival" localSheetId="15">[4]Main!$G$9</definedName>
    <definedName name="Time_Of_Arrival" localSheetId="5">#REF!</definedName>
    <definedName name="Time_Of_Arrival" localSheetId="3">#REF!</definedName>
    <definedName name="Time_Of_Arrival" localSheetId="6">#REF!</definedName>
    <definedName name="Time_Of_Arrival" localSheetId="4">#REF!</definedName>
    <definedName name="Time_Of_Arrival" localSheetId="28">[3]Main!$G$9</definedName>
    <definedName name="Time_Of_Arrival" localSheetId="12">[3]Main!$G$9</definedName>
    <definedName name="Time_Of_Arrival" localSheetId="11">[3]Main!$G$9</definedName>
    <definedName name="Time_Of_Arrival" localSheetId="10">[3]Main!$G$9</definedName>
    <definedName name="Time_Of_Arrival" localSheetId="1">[3]Main!$G$9</definedName>
    <definedName name="Time_Of_Arrival">#REF!</definedName>
    <definedName name="Time_Of_Departure" localSheetId="29">#REF!</definedName>
    <definedName name="Time_Of_Departure" localSheetId="13">#REF!</definedName>
    <definedName name="Time_Of_Departure" localSheetId="14">#REF!</definedName>
    <definedName name="Time_Of_Departure" localSheetId="24">#REF!</definedName>
    <definedName name="Time_Of_Departure" localSheetId="23">#REF!</definedName>
    <definedName name="Time_Of_Departure" localSheetId="22">#REF!</definedName>
    <definedName name="Time_Of_Departure" localSheetId="21">#REF!</definedName>
    <definedName name="Time_Of_Departure" localSheetId="20">#REF!</definedName>
    <definedName name="Time_Of_Departure" localSheetId="5">#REF!</definedName>
    <definedName name="Time_Of_Departure" localSheetId="3">#REF!</definedName>
    <definedName name="Time_Of_Departure" localSheetId="6">#REF!</definedName>
    <definedName name="Time_Of_Departure" localSheetId="4">#REF!</definedName>
    <definedName name="Time_Of_Departure" localSheetId="12">#REF!</definedName>
    <definedName name="Time_Of_Departure" localSheetId="11">#REF!</definedName>
    <definedName name="Time_Of_Departure" localSheetId="10">#REF!</definedName>
    <definedName name="Time_Of_Departure">#REF!</definedName>
    <definedName name="trim" localSheetId="29">#REF!</definedName>
    <definedName name="trim" localSheetId="13">#REF!</definedName>
    <definedName name="trim" localSheetId="14">#REF!</definedName>
    <definedName name="trim" localSheetId="24">#REF!</definedName>
    <definedName name="trim" localSheetId="23">#REF!</definedName>
    <definedName name="trim" localSheetId="22">#REF!</definedName>
    <definedName name="trim" localSheetId="21">#REF!</definedName>
    <definedName name="trim" localSheetId="20">#REF!</definedName>
    <definedName name="trim" localSheetId="5">#REF!</definedName>
    <definedName name="trim" localSheetId="3">#REF!</definedName>
    <definedName name="trim" localSheetId="6">#REF!</definedName>
    <definedName name="trim" localSheetId="4">#REF!</definedName>
    <definedName name="trim" localSheetId="12">#REF!</definedName>
    <definedName name="trim" localSheetId="11">#REF!</definedName>
    <definedName name="trim" localSheetId="10">#REF!</definedName>
    <definedName name="trim">#REF!</definedName>
    <definedName name="TUGNAV2015">#REF!</definedName>
    <definedName name="TugsBDX">#REF!</definedName>
    <definedName name="VEF" localSheetId="29">#REF!</definedName>
    <definedName name="VEF" localSheetId="13">#REF!</definedName>
    <definedName name="VEF" localSheetId="14">#REF!</definedName>
    <definedName name="VEF" localSheetId="24">#REF!</definedName>
    <definedName name="VEF" localSheetId="23">#REF!</definedName>
    <definedName name="VEF" localSheetId="22">#REF!</definedName>
    <definedName name="VEF" localSheetId="21">#REF!</definedName>
    <definedName name="VEF" localSheetId="20">#REF!</definedName>
    <definedName name="VEF" localSheetId="5">#REF!</definedName>
    <definedName name="VEF" localSheetId="3">#REF!</definedName>
    <definedName name="VEF" localSheetId="6">#REF!</definedName>
    <definedName name="VEF" localSheetId="4">#REF!</definedName>
    <definedName name="VEF" localSheetId="12">#REF!</definedName>
    <definedName name="VEF" localSheetId="11">#REF!</definedName>
    <definedName name="VEF" localSheetId="10">#REF!</definedName>
    <definedName name="VEF">#REF!</definedName>
    <definedName name="vessel">#REF!</definedName>
    <definedName name="Voynbr" localSheetId="15">[9]Main!$C$4</definedName>
    <definedName name="Voynbr">[10]Main!$C$4</definedName>
    <definedName name="wrn.LoadFax." localSheetId="9" hidden="1">{#N/A,#N/A,TRUE,"Analysis - Lab";#N/A,#N/A,TRUE,"B.O.L.";#N/A,#N/A,TRUE,"SOF [2] ";#N/A,#N/A,TRUE,"Cleanliness";#N/A,#N/A,TRUE,"Ullage AL";#N/A,#N/A,TRUE,"VEF"}</definedName>
    <definedName name="wrn.LoadFax." localSheetId="13" hidden="1">{#N/A,#N/A,TRUE,"Analysis - Lab";#N/A,#N/A,TRUE,"B.O.L.";#N/A,#N/A,TRUE,"SOF [2] ";#N/A,#N/A,TRUE,"Cleanliness";#N/A,#N/A,TRUE,"Ullage AL";#N/A,#N/A,TRUE,"VEF"}</definedName>
    <definedName name="wrn.LoadFax." localSheetId="14" hidden="1">{#N/A,#N/A,TRUE,"Analysis - Lab";#N/A,#N/A,TRUE,"B.O.L.";#N/A,#N/A,TRUE,"SOF [2] ";#N/A,#N/A,TRUE,"Cleanliness";#N/A,#N/A,TRUE,"Ullage AL";#N/A,#N/A,TRUE,"VEF"}</definedName>
    <definedName name="wrn.LoadFax." localSheetId="15" hidden="1">{#N/A,#N/A,TRUE,"Analysis - Lab";#N/A,#N/A,TRUE,"B.O.L.";#N/A,#N/A,TRUE,"SOF [2] ";#N/A,#N/A,TRUE,"Cleanliness";#N/A,#N/A,TRUE,"Ullage AL";#N/A,#N/A,TRUE,"VEF"}</definedName>
    <definedName name="wrn.LoadFax." hidden="1">{#N/A,#N/A,TRUE,"Analysis - Lab";#N/A,#N/A,TRUE,"B.O.L.";#N/A,#N/A,TRUE,"SOF [2] ";#N/A,#N/A,TRUE,"Cleanliness";#N/A,#N/A,TRUE,"Ullage AL";#N/A,#N/A,TRUE,"VEF"}</definedName>
    <definedName name="zero" localSheetId="29">#REF!</definedName>
    <definedName name="zero" localSheetId="13">#REF!</definedName>
    <definedName name="zero" localSheetId="14">#REF!</definedName>
    <definedName name="zero" localSheetId="24">#REF!</definedName>
    <definedName name="zero" localSheetId="23">#REF!</definedName>
    <definedName name="zero" localSheetId="22">#REF!</definedName>
    <definedName name="zero" localSheetId="21">#REF!</definedName>
    <definedName name="zero" localSheetId="20">#REF!</definedName>
    <definedName name="zero" localSheetId="5">#REF!</definedName>
    <definedName name="zero" localSheetId="3">#REF!</definedName>
    <definedName name="zero" localSheetId="6">#REF!</definedName>
    <definedName name="zero" localSheetId="4">#REF!</definedName>
    <definedName name="zero" localSheetId="12">#REF!</definedName>
    <definedName name="zero" localSheetId="11">#REF!</definedName>
    <definedName name="zero" localSheetId="10">#REF!</definedName>
    <definedName name="zero">#REF!</definedName>
    <definedName name="_xlnm.Print_Area" localSheetId="16">Forklifts!$A$1:$U$43</definedName>
    <definedName name="_xlnm.Print_Area" localSheetId="8">'Holds Certificate'!$A$1:$U$36</definedName>
    <definedName name="_xlnm.Print_Area" localSheetId="25">'LOP Deadfreightg'!$A$1:$U$46</definedName>
    <definedName name="_xlnm.Print_Area" localSheetId="18">'LOP Delays'!$A$1:$U$59</definedName>
    <definedName name="_xlnm.Print_Area" localSheetId="19">'LOP Document'!$A$1:$U$59</definedName>
    <definedName name="_xlnm.Print_Area" localSheetId="17">'LOP FP'!$A$1:$U$43</definedName>
    <definedName name="_xlnm.Print_Area" localSheetId="22">'LOP Q-TY (BOB)'!$A$1:$N$64</definedName>
    <definedName name="_xlnm.Print_Area" localSheetId="21">'LOP Q-TY (G98)'!$A$1:$N$64</definedName>
    <definedName name="_xlnm.Print_Area" localSheetId="20">'LOP Q-TY (Oxy)'!$A$1:$N$64</definedName>
    <definedName name="_xlnm.Print_Area" localSheetId="27">'Mate''s Receipt'!$A$1:$U$40</definedName>
    <definedName name="_xlnm.Print_Area" localSheetId="15">Meeting!$A$1:$AA$51</definedName>
    <definedName name="_xlnm.Print_Area" localSheetId="2">NOR!$A$1:$U$42</definedName>
    <definedName name="_xlnm.Print_Area" localSheetId="5">'NOR (GASOIL)'!$A$1:$P$41</definedName>
    <definedName name="_xlnm.Print_Area" localSheetId="3">'NOR (MOGAS)'!$A$1:$P$41</definedName>
    <definedName name="_xlnm.Print_Area" localSheetId="7">'NOR RT'!$A$1:$U$50</definedName>
    <definedName name="_xlnm.Print_Area" localSheetId="6">'NOR RT (GASOIL)'!$A$1:$P$45</definedName>
    <definedName name="_xlnm.Print_Area" localSheetId="4">'NOR RT (MOGAS)'!$A$1:$P$45</definedName>
    <definedName name="_xlnm.Print_Area" localSheetId="26">'Other LOP'!$A$1:$U$59</definedName>
    <definedName name="_xlnm.Print_Area" localSheetId="1">SOF!$A$1:$J$67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 i="37" l="1"/>
  <c r="E5" i="44"/>
  <c r="B8" i="63"/>
  <c r="P7" i="63"/>
  <c r="B7" i="63"/>
  <c r="P6" i="63"/>
  <c r="B6" i="63"/>
  <c r="B5" i="63"/>
  <c r="P4" i="63"/>
  <c r="P7" i="49"/>
  <c r="P6" i="49"/>
  <c r="P4" i="49"/>
  <c r="P7" i="61"/>
  <c r="P6" i="61"/>
  <c r="P4" i="61"/>
  <c r="P7" i="62"/>
  <c r="P6" i="62"/>
  <c r="P4" i="62"/>
  <c r="P7" i="60"/>
  <c r="P6" i="60"/>
  <c r="P4" i="60"/>
  <c r="P7" i="59"/>
  <c r="P6" i="59"/>
  <c r="P4" i="59"/>
  <c r="P7" i="58"/>
  <c r="P6" i="58"/>
  <c r="P4" i="58"/>
  <c r="B7" i="49"/>
  <c r="B7" i="61"/>
  <c r="B7" i="62"/>
  <c r="B7" i="60"/>
  <c r="B7" i="59"/>
  <c r="B7" i="58"/>
  <c r="B7" i="57"/>
  <c r="B7" i="3"/>
  <c r="B7" i="4"/>
  <c r="M6" i="37"/>
  <c r="M4" i="37"/>
  <c r="P7" i="57"/>
  <c r="P6" i="57"/>
  <c r="P4" i="57"/>
  <c r="P7" i="3"/>
  <c r="P6" i="3"/>
  <c r="P4" i="3"/>
  <c r="P7" i="4"/>
  <c r="P6" i="4"/>
  <c r="P4" i="4"/>
  <c r="F5" i="44"/>
  <c r="B4" i="44"/>
  <c r="H4" i="44"/>
  <c r="C6" i="37"/>
  <c r="B8" i="57"/>
  <c r="B6" i="57"/>
  <c r="B5" i="57"/>
  <c r="B8" i="3"/>
  <c r="B6" i="3"/>
  <c r="B5" i="3"/>
  <c r="B8" i="4"/>
  <c r="B6" i="4"/>
  <c r="B5" i="4"/>
  <c r="B8" i="49"/>
  <c r="B6" i="49"/>
  <c r="B5" i="49"/>
  <c r="B8" i="61"/>
  <c r="B6" i="61"/>
  <c r="B5" i="61"/>
  <c r="B8" i="62"/>
  <c r="B6" i="62"/>
  <c r="B5" i="62"/>
  <c r="B8" i="60"/>
  <c r="B6" i="60"/>
  <c r="B5" i="60"/>
  <c r="B8" i="59"/>
  <c r="B6" i="59"/>
  <c r="B5" i="59"/>
  <c r="B6" i="58"/>
  <c r="B5" i="58"/>
  <c r="B8" i="58"/>
  <c r="J24" i="4"/>
  <c r="O31" i="49"/>
  <c r="O37" i="62"/>
  <c r="O50" i="61"/>
  <c r="O50" i="60"/>
  <c r="O50" i="59"/>
  <c r="G15" i="58"/>
  <c r="B17" i="58"/>
  <c r="O34" i="58"/>
  <c r="B20" i="57"/>
  <c r="P20" i="4"/>
  <c r="P20" i="3"/>
  <c r="B15" i="3"/>
  <c r="O33" i="4"/>
  <c r="F13" i="4" l="1"/>
  <c r="Y28" i="37" l="1"/>
  <c r="Y30" i="37" s="1"/>
  <c r="Y32" i="37" s="1"/>
  <c r="Y34" i="37" s="1"/>
  <c r="P29" i="37"/>
  <c r="P31" i="37" s="1"/>
  <c r="P28" i="37"/>
  <c r="P30" i="37" s="1"/>
  <c r="B15" i="4" l="1"/>
  <c r="X6" i="37" l="1"/>
  <c r="B18" i="4" l="1"/>
  <c r="K43" i="20" l="1"/>
  <c r="C5" i="20"/>
  <c r="M7" i="20" l="1"/>
  <c r="M7" i="16" l="1"/>
  <c r="M5" i="16"/>
  <c r="G5" i="16"/>
  <c r="W5" i="8" l="1"/>
  <c r="M5" i="8"/>
  <c r="L55" i="33" l="1"/>
  <c r="F9" i="33"/>
  <c r="E8" i="33"/>
  <c r="E7" i="33"/>
  <c r="J6" i="33"/>
  <c r="E6" i="33"/>
  <c r="L55" i="30"/>
  <c r="F9" i="30"/>
  <c r="E8" i="30"/>
  <c r="E7" i="30"/>
  <c r="J6" i="30"/>
  <c r="E6" i="30"/>
  <c r="L61" i="34" l="1"/>
  <c r="K20" i="34"/>
  <c r="J20" i="34"/>
  <c r="I20" i="34"/>
  <c r="C20" i="34"/>
  <c r="F9" i="34"/>
  <c r="E8" i="34"/>
  <c r="E7" i="34"/>
  <c r="J6" i="34"/>
  <c r="E6" i="34"/>
  <c r="L61" i="32"/>
  <c r="K20" i="32"/>
  <c r="M20" i="32" s="1"/>
  <c r="J20" i="32"/>
  <c r="I20" i="32"/>
  <c r="M20" i="34" l="1"/>
  <c r="C20" i="32"/>
  <c r="F9" i="32"/>
  <c r="E8" i="32"/>
  <c r="E7" i="32" l="1"/>
  <c r="J6" i="32"/>
  <c r="E6" i="32"/>
  <c r="L61" i="31"/>
  <c r="K20" i="31"/>
  <c r="M20" i="31" s="1"/>
  <c r="J20" i="31"/>
  <c r="I20" i="31"/>
  <c r="C20" i="31"/>
  <c r="F9" i="31"/>
  <c r="E8" i="31"/>
  <c r="E7" i="31"/>
  <c r="J6" i="31"/>
  <c r="E6" i="31"/>
  <c r="G7" i="24" l="1"/>
  <c r="M5" i="24"/>
  <c r="G5" i="24"/>
  <c r="G7" i="23"/>
  <c r="M5" i="23"/>
  <c r="G5" i="23"/>
  <c r="W5" i="15" l="1"/>
  <c r="M5" i="15"/>
  <c r="W5" i="17" l="1"/>
  <c r="M5" i="17"/>
  <c r="W5" i="18" l="1"/>
  <c r="M5" i="18"/>
  <c r="J33" i="20"/>
  <c r="E11" i="20"/>
  <c r="G7" i="20"/>
  <c r="L11" i="20" l="1"/>
  <c r="C7" i="20"/>
  <c r="M5" i="20" l="1"/>
  <c r="G5" i="20"/>
  <c r="D37" i="28" l="1"/>
  <c r="M20" i="28"/>
  <c r="L17" i="28"/>
  <c r="H16" i="28"/>
  <c r="C15" i="28" l="1"/>
  <c r="J13" i="28"/>
  <c r="E9" i="28"/>
  <c r="L8" i="28"/>
  <c r="E8" i="28"/>
  <c r="E7" i="28"/>
  <c r="E6" i="28"/>
  <c r="E5" i="28"/>
  <c r="C17" i="26"/>
  <c r="L8" i="26"/>
  <c r="D37" i="27"/>
  <c r="M20" i="27"/>
  <c r="L17" i="27" l="1"/>
  <c r="H16" i="27"/>
  <c r="C15" i="27" l="1"/>
  <c r="J13" i="27"/>
  <c r="E9" i="27"/>
  <c r="L8" i="27"/>
  <c r="E8" i="27"/>
  <c r="E7" i="27"/>
  <c r="E6" i="27"/>
  <c r="E5" i="27"/>
  <c r="C17" i="25"/>
  <c r="L7" i="25"/>
  <c r="L6" i="25"/>
  <c r="O41" i="3"/>
  <c r="B18" i="3"/>
  <c r="J7" i="34" l="1"/>
  <c r="J7" i="32"/>
  <c r="J7" i="31"/>
  <c r="L7" i="28"/>
  <c r="L7" i="26"/>
  <c r="L7" i="27"/>
  <c r="C16" i="28"/>
  <c r="C16" i="27"/>
  <c r="L6" i="28"/>
  <c r="L6" i="26"/>
  <c r="L6" i="27"/>
</calcChain>
</file>

<file path=xl/sharedStrings.xml><?xml version="1.0" encoding="utf-8"?>
<sst xmlns="http://schemas.openxmlformats.org/spreadsheetml/2006/main" count="1596" uniqueCount="590">
  <si>
    <t>RE-TENDERING NOTICE OF READINESS</t>
  </si>
  <si>
    <t>PRT 001A</t>
  </si>
  <si>
    <t>Page 1 of 1</t>
  </si>
  <si>
    <t>Rev: 02</t>
  </si>
  <si>
    <t>To:</t>
  </si>
  <si>
    <t xml:space="preserve">Vessel: </t>
  </si>
  <si>
    <t>ATRIA</t>
  </si>
  <si>
    <t xml:space="preserve">Voyage No: </t>
  </si>
  <si>
    <t xml:space="preserve">Port: </t>
  </si>
  <si>
    <t xml:space="preserve">Chrtr Ref. Nbr: </t>
  </si>
  <si>
    <t>Dear Sirs,</t>
  </si>
  <si>
    <t xml:space="preserve">I hereby confirm that </t>
  </si>
  <si>
    <t>M/T ATRIA</t>
  </si>
  <si>
    <t>(Vessel Name)</t>
  </si>
  <si>
    <t xml:space="preserve">on </t>
  </si>
  <si>
    <t>(Port, Country)</t>
  </si>
  <si>
    <t>(Date &amp; Time)</t>
  </si>
  <si>
    <t>(Cargo Grade &amp; Qty)</t>
  </si>
  <si>
    <t>in accordance with the terms and conditions of Charter Party dated</t>
  </si>
  <si>
    <t>(CP Date)</t>
  </si>
  <si>
    <t>and any addendum thereto.</t>
  </si>
  <si>
    <t xml:space="preserve">I, hereby re-tender NOR without prejudice to any NOR tendered earlier, on the below dates/times:-
</t>
  </si>
  <si>
    <t>Yours faithfully,</t>
  </si>
  <si>
    <t>Master</t>
  </si>
  <si>
    <t>Accepted By:</t>
  </si>
  <si>
    <t>Date:</t>
  </si>
  <si>
    <t>Time:</t>
  </si>
  <si>
    <t>Signature:</t>
  </si>
  <si>
    <t>NOTICE OF READINESS</t>
  </si>
  <si>
    <t>PRT 001</t>
  </si>
  <si>
    <t>And she is now in all respects ready to load the cargo of :</t>
  </si>
  <si>
    <t>KEY TRANSFER MEETING</t>
  </si>
  <si>
    <t>PRT 011</t>
  </si>
  <si>
    <t>Rev : 02</t>
  </si>
  <si>
    <t>Vessel</t>
  </si>
  <si>
    <t>Port</t>
  </si>
  <si>
    <t>Voy No</t>
  </si>
  <si>
    <t>Terminal</t>
  </si>
  <si>
    <t>Berth</t>
  </si>
  <si>
    <t>Date</t>
  </si>
  <si>
    <t>Vessel Information</t>
  </si>
  <si>
    <t>Terminal Information</t>
  </si>
  <si>
    <t>No. and Size of Manifolds</t>
  </si>
  <si>
    <t>No. &amp; Size of Connections</t>
  </si>
  <si>
    <t>Initial</t>
  </si>
  <si>
    <t>Bulk</t>
  </si>
  <si>
    <t>Final</t>
  </si>
  <si>
    <t>Emergency Signal by Vessel</t>
  </si>
  <si>
    <t>Emergency Signal by Terminal</t>
  </si>
  <si>
    <t>Notice for Immediate Stoppage</t>
  </si>
  <si>
    <t>Notice for Rate Reduction</t>
  </si>
  <si>
    <t>Tanks to COW</t>
  </si>
  <si>
    <t>N/A</t>
  </si>
  <si>
    <t>Vessel Experience Factor</t>
  </si>
  <si>
    <t>Line Displacement Requirement</t>
  </si>
  <si>
    <t>Ship/Shore Communication</t>
  </si>
  <si>
    <t>Back-Up Communication</t>
  </si>
  <si>
    <t>Cargo History</t>
  </si>
  <si>
    <t>Emergency Shutdown Procedure</t>
  </si>
  <si>
    <t>Cargo Grade</t>
  </si>
  <si>
    <t>Tanks Loaded</t>
  </si>
  <si>
    <t>Material Safety Data Sheet</t>
  </si>
  <si>
    <t>Last</t>
  </si>
  <si>
    <t>2nd Last</t>
  </si>
  <si>
    <t>3rd Last</t>
  </si>
  <si>
    <t>Cargo Grade as per B/L</t>
  </si>
  <si>
    <t>Cargo Stoppage by:
(Ship/Shore)</t>
  </si>
  <si>
    <t>Terminal's Nomination</t>
  </si>
  <si>
    <t>Vessels Nomination</t>
  </si>
  <si>
    <t>Watch Keeping Schedule</t>
  </si>
  <si>
    <t>Time ®</t>
  </si>
  <si>
    <t>D/Officer</t>
  </si>
  <si>
    <t>Crew</t>
  </si>
  <si>
    <t>Drafts</t>
  </si>
  <si>
    <t>Ford</t>
  </si>
  <si>
    <t>Aft</t>
  </si>
  <si>
    <t>M'ship</t>
  </si>
  <si>
    <t>Master's Name</t>
  </si>
  <si>
    <t>Arrival</t>
  </si>
  <si>
    <t>Chief Engineer's Name</t>
  </si>
  <si>
    <t>Departure</t>
  </si>
  <si>
    <t>Chief Officer's Name</t>
  </si>
  <si>
    <t>Tide</t>
  </si>
  <si>
    <t>Date/Time</t>
  </si>
  <si>
    <t>Ht. of tide</t>
  </si>
  <si>
    <t>SEE PRINTOUT BY 2/0 IN CCR CONTROL PANEL</t>
  </si>
  <si>
    <t>Chief Officer</t>
  </si>
  <si>
    <t>Terminal Representative</t>
  </si>
  <si>
    <t>* - For any key information which is not included above, please prepare on a separate sheet and attach to this document</t>
  </si>
  <si>
    <t>Voyage:</t>
  </si>
  <si>
    <t>Terminal:</t>
  </si>
  <si>
    <t>Berth:</t>
  </si>
  <si>
    <t>00-04 / 12-24</t>
  </si>
  <si>
    <t>04-08 / 16-20</t>
  </si>
  <si>
    <t>08-12 / 20-24</t>
  </si>
  <si>
    <t>TO WHOM IT MAY CONCERN</t>
  </si>
  <si>
    <t>Port:</t>
  </si>
  <si>
    <t>Vessel:</t>
  </si>
  <si>
    <t>Voy No:</t>
  </si>
  <si>
    <t>(Cargo grade)</t>
  </si>
  <si>
    <t>Surveyor</t>
  </si>
  <si>
    <t>Master/Chief Officer</t>
  </si>
  <si>
    <t>Cargo:</t>
  </si>
  <si>
    <t>PUMPING LOG</t>
  </si>
  <si>
    <t>PRT 010</t>
  </si>
  <si>
    <t>Date/Time Hose connected:</t>
  </si>
  <si>
    <t>Date/Time Commenced Pumping:</t>
  </si>
  <si>
    <t>Nbr of Hoses:</t>
  </si>
  <si>
    <t>Dia of Hoses:</t>
  </si>
  <si>
    <t>Dia of Shore line:</t>
  </si>
  <si>
    <t>Dist to shore tank:</t>
  </si>
  <si>
    <t>Date/Time Comptd Pumping:</t>
  </si>
  <si>
    <t>Date Time Hose disconnected:</t>
  </si>
  <si>
    <t>Any other restrictions by receiving facility:</t>
  </si>
  <si>
    <r>
      <t xml:space="preserve">PRESSURE GAUGE TO BE PLACED OUT OF SHIP’S MANIFOLD VALVE - PRESSURE IN BAR / PSI </t>
    </r>
    <r>
      <rPr>
        <i/>
        <sz val="10"/>
        <rFont val="Calibri"/>
        <family val="2"/>
      </rPr>
      <t>(Strike out one)</t>
    </r>
  </si>
  <si>
    <t>Pressure at Ship Rail</t>
  </si>
  <si>
    <t>Discharge Rate</t>
  </si>
  <si>
    <t>Temp.</t>
  </si>
  <si>
    <t>Remarks</t>
  </si>
  <si>
    <t>Ch/Off Initials</t>
  </si>
  <si>
    <t>Manifold Number</t>
  </si>
  <si>
    <t>Air</t>
  </si>
  <si>
    <t>Cargo</t>
  </si>
  <si>
    <t>Time</t>
  </si>
  <si>
    <t>°C</t>
  </si>
  <si>
    <t>Cargo Surveyor</t>
  </si>
  <si>
    <t>Chief Mate</t>
  </si>
  <si>
    <t>STATEMENT OF FACTS</t>
  </si>
  <si>
    <t>PRT 012</t>
  </si>
  <si>
    <t>Port :</t>
  </si>
  <si>
    <t>Time (LT)</t>
  </si>
  <si>
    <t>R.O.B.</t>
  </si>
  <si>
    <t>HFO</t>
  </si>
  <si>
    <t>MGO</t>
  </si>
  <si>
    <t>Remarks:</t>
  </si>
  <si>
    <t>AGENT:</t>
  </si>
  <si>
    <t>CARGO INSPECTOR:</t>
  </si>
  <si>
    <t>MASTER:</t>
  </si>
  <si>
    <t>TERMINAL REP:</t>
  </si>
  <si>
    <t>Voyage No:</t>
  </si>
  <si>
    <t>Cargo Grade:</t>
  </si>
  <si>
    <t xml:space="preserve">In order to protect the interests of my owner(s), disponent owner(s) and charterer(s), I must protest the following circumstances: </t>
  </si>
  <si>
    <t>Terminal / Receiver-Shipper Representative / Agency Representative</t>
  </si>
  <si>
    <t>If Receivers / Shippers / Terminal Representative / Agent refuses to sign, please mark 'Refused to Sign'</t>
  </si>
  <si>
    <t>Ship's Stamp</t>
  </si>
  <si>
    <t xml:space="preserve">        LETTER OF PROTEST - LOADING (DELAYS &amp; RESTRICTIONS)</t>
  </si>
  <si>
    <t>PRT 005</t>
  </si>
  <si>
    <t xml:space="preserve">Vessel:   </t>
  </si>
  <si>
    <t>Charterer's Ref No:</t>
  </si>
  <si>
    <t>In order to protect the interests of my owner(s) and charterer(s), I must protest the following circumstances,</t>
  </si>
  <si>
    <t>Additional comments, as applicable:</t>
  </si>
  <si>
    <t>Port authority delays were incurred</t>
  </si>
  <si>
    <t>X</t>
  </si>
  <si>
    <t>Terminal connections to my vessel were restricted</t>
  </si>
  <si>
    <t>Actual Connections:</t>
  </si>
  <si>
    <t>Size:</t>
  </si>
  <si>
    <t>My vessel's capability:</t>
  </si>
  <si>
    <t>16"</t>
  </si>
  <si>
    <t>Cargo was loaded slower than ship's capability</t>
  </si>
  <si>
    <t>Vessel is capable of loading at :</t>
  </si>
  <si>
    <t>Delay awaiting Cargo Documents</t>
  </si>
  <si>
    <t>Additional Delays were incurred as listed below:</t>
  </si>
  <si>
    <r>
      <t xml:space="preserve">Additional protest 1 </t>
    </r>
    <r>
      <rPr>
        <i/>
        <sz val="10"/>
        <rFont val="Calibri"/>
        <family val="2"/>
      </rPr>
      <t>(Summary of details as below - full details on separate protest, as deemed necessary)</t>
    </r>
  </si>
  <si>
    <r>
      <t xml:space="preserve">Additional protest 2 </t>
    </r>
    <r>
      <rPr>
        <i/>
        <sz val="10"/>
        <rFont val="Calibri"/>
        <family val="2"/>
      </rPr>
      <t>(Summary of details as below - full details on separate protest, as deemed necessary)</t>
    </r>
  </si>
  <si>
    <t xml:space="preserve">And I hereby lodge protest accordingly, and we, including, my disponent owners and/or charterers, hold you responsible for any consequences. On behalf of the owners and / or charterers, I hereby reserve the right to take such further action as may be considered necessary to protect the interest of these parties. I reserve the right to refer to this Letter of Protest at a future date and place convenient to the Owners and / or charterers. </t>
  </si>
  <si>
    <t>Terminal / Suppliers Representative / Agency Represnetative</t>
  </si>
  <si>
    <t>If Shippers / Terminal Representative / Agent refuses to sign, please mark 'Refused to Sign'</t>
  </si>
  <si>
    <t xml:space="preserve">        LETTER OF PROTEST - LOADING (QUANTITY &amp; OTHERS)</t>
  </si>
  <si>
    <t>PRT 005A</t>
  </si>
  <si>
    <t>Dear Sir,</t>
  </si>
  <si>
    <t>In order to protect the interests of my owner(s) and charterer(s), I must protest the following circumstances, :</t>
  </si>
  <si>
    <t>BL Figures</t>
  </si>
  <si>
    <t>Ship's Figures</t>
  </si>
  <si>
    <t>Diff. %</t>
  </si>
  <si>
    <t>Diff %</t>
  </si>
  <si>
    <t xml:space="preserve">Nominated:                                       </t>
  </si>
  <si>
    <t>Loaded:</t>
  </si>
  <si>
    <t>Terminal overloaded nominated cargo</t>
  </si>
  <si>
    <t xml:space="preserve">Terminal / Shipper representative did not </t>
  </si>
  <si>
    <t>sign vessels documents</t>
  </si>
  <si>
    <t>Terminal did not sign the vessel's documents</t>
  </si>
  <si>
    <t>Certificate of Origin not provided</t>
  </si>
  <si>
    <t>Certificate of Quality not provided</t>
  </si>
  <si>
    <t>Cargo temperature was outside agreed limits:</t>
  </si>
  <si>
    <t xml:space="preserve">Requested (Max/Min):                        </t>
  </si>
  <si>
    <t>Observed Temp.:</t>
  </si>
  <si>
    <t>Oil Sheen on water seen on arrival / at the</t>
  </si>
  <si>
    <t xml:space="preserve">berth which has contaminated the hull </t>
  </si>
  <si>
    <t>Ullaging was carried out in open sea conditions with the vessel moving and cargo ullage was not steady.</t>
  </si>
  <si>
    <t>The terminal did not accept Slops</t>
  </si>
  <si>
    <r>
      <t xml:space="preserve">Additional protest </t>
    </r>
    <r>
      <rPr>
        <i/>
        <sz val="10"/>
        <rFont val="Calibri"/>
        <family val="2"/>
      </rPr>
      <t>(Summary of details as below - full details on separate protest, as deemed necessary)</t>
    </r>
  </si>
  <si>
    <t>YES</t>
  </si>
  <si>
    <t>12"</t>
  </si>
  <si>
    <t>JS</t>
  </si>
  <si>
    <t>KG</t>
  </si>
  <si>
    <t>IM</t>
  </si>
  <si>
    <t>GASOIL A</t>
  </si>
  <si>
    <t>GNA 95</t>
  </si>
  <si>
    <t>GNA 98</t>
  </si>
  <si>
    <t>GASOIL C</t>
  </si>
  <si>
    <t>Cargo Dens.&amp; Temp</t>
  </si>
  <si>
    <t>Additional Information</t>
  </si>
  <si>
    <t>MAX RATE</t>
  </si>
  <si>
    <t>MAX PRESSURE</t>
  </si>
  <si>
    <t>INIT. RATE</t>
  </si>
  <si>
    <t>VESSEL RATES &amp; PRESSURES</t>
  </si>
  <si>
    <t>TERMINAL RATES &amp; PRESSURES - AGREED AS MAXIMUM</t>
  </si>
  <si>
    <t>CARGO DENSITY AND TEMPERATURES</t>
  </si>
  <si>
    <t>ATTACHMENT FOR KEY TRANSFER MEETING</t>
  </si>
  <si>
    <t>LOADING SEQUENCE: GASOIL A - GASOIL C - GNA 98 - GNA 95</t>
  </si>
  <si>
    <t>NO BLOWING BETWEEN GRADES - DRAINING ONLY</t>
  </si>
  <si>
    <t>SHIFTING TO FWD 2 MTRS AND RECONNECTION TO MANIFOLD #4 FOR LOADING GNA 95 &amp; 98</t>
  </si>
  <si>
    <t>THERE WILL BE RUNNING 1ST FOOT SAMPLING &amp; VISUAL CHECK FOR ALL GRADES</t>
  </si>
  <si>
    <t>SHORE LINE 12" 1ST GRADE 1KM, OTHER GRADES 0.5KM</t>
  </si>
  <si>
    <t>SHORE TANKS: GRADES 1ST - 1002 / 2ND -108 / 3RD - 107 - 4TH 101 &amp;102</t>
  </si>
  <si>
    <t>THERE WILL BE DESLOPPING ROT ASHORE AT THE END OF LOADING (SHIFTING FWD FOR CONNECTION TO SLOP MANIFOLD</t>
  </si>
  <si>
    <t>10"</t>
  </si>
  <si>
    <t>8 Bar</t>
  </si>
  <si>
    <t>#3</t>
  </si>
  <si>
    <t>VV</t>
  </si>
  <si>
    <t>0.5km</t>
  </si>
  <si>
    <t>GASOIL C - 600 M3/HR</t>
  </si>
  <si>
    <t>Commenced loading GASOIL C</t>
  </si>
  <si>
    <t>Completed loading - SHORE STOP</t>
  </si>
  <si>
    <t>The vessel was able to load multiple grade / parcels simultaneously. The terminal was not able to load all</t>
  </si>
  <si>
    <t>simultaneously - one by one only, causing additional delays.</t>
  </si>
  <si>
    <t>GRADE</t>
  </si>
  <si>
    <t>Commenced loading GNA 98</t>
  </si>
  <si>
    <t>GNA 98 - 500 M3/HR</t>
  </si>
  <si>
    <t>17:30- Suspended loading shore order</t>
  </si>
  <si>
    <t>19:18 - Resumed loading</t>
  </si>
  <si>
    <t>Commenced loading GNA 95</t>
  </si>
  <si>
    <t>GNA 95 - 500 M3/HR</t>
  </si>
  <si>
    <t>#4</t>
  </si>
  <si>
    <t>Completed loading GNA 95</t>
  </si>
  <si>
    <t>21:12 Completed loading GNA 98</t>
  </si>
  <si>
    <t>SHORE STOP</t>
  </si>
  <si>
    <t>Max Rate permitted by receiving facility:</t>
  </si>
  <si>
    <t>Max Pressure permitted by receiving facility:</t>
  </si>
  <si>
    <t>Terminal shortloaded nominated cargo:</t>
  </si>
  <si>
    <t>10 Bar</t>
  </si>
  <si>
    <t>PUMPING LOG - PAGE 1 OF 1</t>
  </si>
  <si>
    <t xml:space="preserve"> </t>
  </si>
  <si>
    <t>Shore Line size and length</t>
  </si>
  <si>
    <t>Shore tanks number</t>
  </si>
  <si>
    <t>SEE LAST 3 CARGO LIST</t>
  </si>
  <si>
    <t>Method of arm/hose draining</t>
  </si>
  <si>
    <t>Manifold height above water</t>
  </si>
  <si>
    <t>Max Depth at Berth</t>
  </si>
  <si>
    <t>N/A - LOADING</t>
  </si>
  <si>
    <t>Quantity loaded as per B/L:</t>
  </si>
  <si>
    <t>Deadfreight:</t>
  </si>
  <si>
    <t>ALL FAST / NOR RE-TENDERED</t>
  </si>
  <si>
    <t>Delay awaiting commencement of Loading</t>
  </si>
  <si>
    <t xml:space="preserve"> ____________ amount of water was found and/or is further likely to be found in the cargo on settling. </t>
  </si>
  <si>
    <t>OS R. Longakit</t>
  </si>
  <si>
    <t>AB2 M. Dimaisip</t>
  </si>
  <si>
    <t>AB1 R. Balais</t>
  </si>
  <si>
    <t>AB3 B. Perez</t>
  </si>
  <si>
    <t>Attachment to this document - NO</t>
  </si>
  <si>
    <t>1. FINAL DENSITY WAS NOT KNOWN PRIOR OR DURING THE LOADING OPERATION</t>
  </si>
  <si>
    <t>3/O  C.Balmes</t>
  </si>
  <si>
    <t>And she is in all respects ready to load the cargo of :</t>
  </si>
  <si>
    <t>NOR RE-TENDERED</t>
  </si>
  <si>
    <t>2. B/L FIGURES = SHIP'S FIGURES + (SURVEYOR) VEF</t>
  </si>
  <si>
    <t>Berth was not available on arrival due to terminal readiness</t>
  </si>
  <si>
    <t>VOPAK Europort</t>
  </si>
  <si>
    <t>VOPAK</t>
  </si>
  <si>
    <t>2/O B. Vergara</t>
  </si>
  <si>
    <t>1800 M3/Hr</t>
  </si>
  <si>
    <t>1.2 km</t>
  </si>
  <si>
    <t>20"</t>
  </si>
  <si>
    <t>Shipper forced the following Bills of Lading be issued with figures we do not believe to be accurate:</t>
  </si>
  <si>
    <t>CAPT  T. HEMON</t>
  </si>
  <si>
    <t>4/O  T. Join</t>
  </si>
  <si>
    <t>SW</t>
  </si>
  <si>
    <t>anchorage of</t>
  </si>
  <si>
    <t>Wiper E. Osayan</t>
  </si>
  <si>
    <t>(Figures adjusted for VEF - N )</t>
  </si>
  <si>
    <t>VEF APPLIED (MT IN AIR)</t>
  </si>
  <si>
    <t>VEF NOT APPLIED (MT IN AIR)</t>
  </si>
  <si>
    <t>6.60 m</t>
  </si>
  <si>
    <t>Capt. T. Hemon</t>
  </si>
  <si>
    <t>C/E K. Tarasenko</t>
  </si>
  <si>
    <t>C/O M.A.Delgado</t>
  </si>
  <si>
    <t>500 m3/h</t>
  </si>
  <si>
    <t xml:space="preserve">     SIMULTANEOUS
Cargo Transfer Rates</t>
  </si>
  <si>
    <t xml:space="preserve"> NON-SIMULTANEOUS
Cargo Transfer Rates</t>
  </si>
  <si>
    <t xml:space="preserve">     SIMULTANEOUS
Cargo Transfer Rates 
(or) 
Manifold Pressure</t>
  </si>
  <si>
    <t>NON- SIMULTANEOUS
Cargo Transfer Rates 
(or) 
Manifold Pressure</t>
  </si>
  <si>
    <t>300 m3/h</t>
  </si>
  <si>
    <t>1000 m3/h or
10Bar</t>
  </si>
  <si>
    <t>500 m3/h or
10Bar</t>
  </si>
  <si>
    <t>3000 m3/h or
10Bar</t>
  </si>
  <si>
    <t>1500 m3/h or
10Bar</t>
  </si>
  <si>
    <t>BSN E. Echanes</t>
  </si>
  <si>
    <t>6.90 m</t>
  </si>
  <si>
    <t>6.30 m</t>
  </si>
  <si>
    <t>10.60 m</t>
  </si>
  <si>
    <t>10.60m</t>
  </si>
  <si>
    <t>1 x 16"</t>
  </si>
  <si>
    <t>Barge Information</t>
  </si>
  <si>
    <t>C/P 28 Nov 2018</t>
  </si>
  <si>
    <t>, under my command, has arrived in Rotterdam, NL</t>
  </si>
  <si>
    <t>VITOL SA</t>
  </si>
  <si>
    <t>Barge ATLANTIS</t>
  </si>
  <si>
    <t>ACAP 4300 MT of GASOLINE</t>
  </si>
  <si>
    <t>Barge GERVAIS</t>
  </si>
  <si>
    <t>ACAP 800 MT of GASOIL</t>
  </si>
  <si>
    <t>GASOLINE</t>
  </si>
  <si>
    <t>1 x 8"</t>
  </si>
  <si>
    <t>GASOIL</t>
  </si>
  <si>
    <t>1000 m3/h or 10Bar</t>
  </si>
  <si>
    <t>500 m3/h or 10Bar</t>
  </si>
  <si>
    <t>ACAP 800 MT in AIR</t>
  </si>
  <si>
    <t>ACAP 4300 MT in AIR</t>
  </si>
  <si>
    <t>BARGE Nomination</t>
  </si>
  <si>
    <t>VOPAK Europort / Barge GERVAIS</t>
  </si>
  <si>
    <t>VOPAK Europort / Barge ATLANTIS</t>
  </si>
  <si>
    <t>at 17:48 LT on the 01st of December 2018 and tendering the Notice of Readiness for</t>
  </si>
  <si>
    <t>01  DECEMBER 2018 at 17:48 Lt</t>
  </si>
  <si>
    <t>01Dec2018; 20:24 LT</t>
  </si>
  <si>
    <t>02Dec2018; 09:00 LT</t>
  </si>
  <si>
    <t>02Dec2018; 15:24 LT</t>
  </si>
  <si>
    <t>BARGE FAST / NOR RE-TENDERED</t>
  </si>
  <si>
    <t>Barge Atalntis</t>
  </si>
  <si>
    <t>From 01 Dec 2018; 17:48 LT (NORT) till 
02 Dec 2018; 17:42 LT (Commenced loading)</t>
  </si>
  <si>
    <t>8"</t>
  </si>
  <si>
    <r>
      <t>1000 m</t>
    </r>
    <r>
      <rPr>
        <vertAlign val="superscript"/>
        <sz val="10"/>
        <rFont val="Calibri"/>
        <family val="2"/>
        <scheme val="minor"/>
      </rPr>
      <t>3</t>
    </r>
    <r>
      <rPr>
        <sz val="10"/>
        <rFont val="Calibri"/>
        <family val="2"/>
        <scheme val="minor"/>
      </rPr>
      <t>/hr</t>
    </r>
  </si>
  <si>
    <t>Actual loading rate, provided by Barge:</t>
  </si>
  <si>
    <r>
      <t>829 m</t>
    </r>
    <r>
      <rPr>
        <vertAlign val="superscript"/>
        <sz val="10"/>
        <rFont val="Calibri"/>
        <family val="2"/>
        <scheme val="minor"/>
      </rPr>
      <t>3</t>
    </r>
    <r>
      <rPr>
        <sz val="10"/>
        <rFont val="Calibri"/>
        <family val="2"/>
        <scheme val="minor"/>
      </rPr>
      <t>/hr</t>
    </r>
  </si>
  <si>
    <t xml:space="preserve">From 03Dec2018; 02:30LT to **Dec2018; **:**LT - Awaiting Cargo Documents </t>
  </si>
  <si>
    <t>From **Dec2018; **:**LT  Cargo documents on board to POB</t>
  </si>
  <si>
    <t xml:space="preserve">There was insufficient time for settling after completion of Loading. Vessels tanks had NO water on arrival and tanks </t>
  </si>
  <si>
    <t>were certified empty  and well drained by the Surveyor.</t>
  </si>
  <si>
    <t>There was insufficient time for settling after completion of Loading. Vessels tanks had NO water on arrival and tanks</t>
  </si>
  <si>
    <t xml:space="preserve"> were certified empty  and well drained by the Surveyor.</t>
  </si>
  <si>
    <t>/ Barge Readiness</t>
  </si>
  <si>
    <t>115 m3/h</t>
  </si>
  <si>
    <t>03Dec2018; 09:00 LT</t>
  </si>
  <si>
    <t>04Dec2018; 09:00 LT</t>
  </si>
  <si>
    <t>05Dec2018; 09:00 LT</t>
  </si>
  <si>
    <t>250 m3/h</t>
  </si>
  <si>
    <t>05Dec2018; 16:30 LT</t>
  </si>
  <si>
    <t>From 01 Dec 2018; 17:48 LT (NORT) till 
05 Dec 2018; 18:06 LT (Commenced loading)</t>
  </si>
  <si>
    <r>
      <t>500 m</t>
    </r>
    <r>
      <rPr>
        <vertAlign val="superscript"/>
        <sz val="10"/>
        <rFont val="Calibri"/>
        <family val="2"/>
        <scheme val="minor"/>
      </rPr>
      <t>3</t>
    </r>
    <r>
      <rPr>
        <sz val="10"/>
        <rFont val="Calibri"/>
        <family val="2"/>
        <scheme val="minor"/>
      </rPr>
      <t>/hr</t>
    </r>
  </si>
  <si>
    <r>
      <t>419 m</t>
    </r>
    <r>
      <rPr>
        <vertAlign val="superscript"/>
        <sz val="10"/>
        <rFont val="Calibri"/>
        <family val="2"/>
        <scheme val="minor"/>
      </rPr>
      <t>3</t>
    </r>
    <r>
      <rPr>
        <sz val="10"/>
        <rFont val="Calibri"/>
        <family val="2"/>
        <scheme val="minor"/>
      </rPr>
      <t>/hr</t>
    </r>
  </si>
  <si>
    <t xml:space="preserve">From 05Dec2018; 21:12LT to **Dec2018; **:**LT - Awaiting Cargo Documents </t>
  </si>
  <si>
    <t>EDP Applied</t>
  </si>
  <si>
    <t>Voyage charter party date 16 January 2019  not mentioned on B/L, no condition of carriage mentioned on the back page</t>
  </si>
  <si>
    <t>UMS (OXY)</t>
  </si>
  <si>
    <t>GASOLINE 98</t>
  </si>
  <si>
    <t>UMS (BOB)</t>
  </si>
  <si>
    <r>
      <t>Loaded :   1739.757 m3 @ 15</t>
    </r>
    <r>
      <rPr>
        <vertAlign val="superscript"/>
        <sz val="10"/>
        <rFont val="Calibri"/>
        <family val="2"/>
        <scheme val="minor"/>
      </rPr>
      <t>o</t>
    </r>
    <r>
      <rPr>
        <sz val="10"/>
        <rFont val="Calibri"/>
        <family val="2"/>
        <scheme val="minor"/>
      </rPr>
      <t>C</t>
    </r>
  </si>
  <si>
    <r>
      <t>Nominated:  1750.000 m3 @ 15</t>
    </r>
    <r>
      <rPr>
        <vertAlign val="superscript"/>
        <sz val="10"/>
        <rFont val="Calibri"/>
        <family val="2"/>
        <scheme val="minor"/>
      </rPr>
      <t>o</t>
    </r>
    <r>
      <rPr>
        <sz val="10"/>
        <rFont val="Calibri"/>
        <family val="2"/>
        <scheme val="minor"/>
      </rPr>
      <t>C</t>
    </r>
  </si>
  <si>
    <r>
      <t>Loaded :   5623.822 m3 @ 15</t>
    </r>
    <r>
      <rPr>
        <vertAlign val="superscript"/>
        <sz val="10"/>
        <rFont val="Calibri"/>
        <family val="2"/>
        <scheme val="minor"/>
      </rPr>
      <t>o</t>
    </r>
    <r>
      <rPr>
        <sz val="10"/>
        <rFont val="Calibri"/>
        <family val="2"/>
        <scheme val="minor"/>
      </rPr>
      <t>C</t>
    </r>
  </si>
  <si>
    <r>
      <t>Nominated:  5650.000 m3 @ 15</t>
    </r>
    <r>
      <rPr>
        <vertAlign val="superscript"/>
        <sz val="10"/>
        <rFont val="Calibri"/>
        <family val="2"/>
        <scheme val="minor"/>
      </rPr>
      <t>o</t>
    </r>
    <r>
      <rPr>
        <sz val="10"/>
        <rFont val="Calibri"/>
        <family val="2"/>
        <scheme val="minor"/>
      </rPr>
      <t>C</t>
    </r>
  </si>
  <si>
    <r>
      <t>Loaded :   5473.407 m3 @ 15</t>
    </r>
    <r>
      <rPr>
        <vertAlign val="superscript"/>
        <sz val="10"/>
        <rFont val="Calibri"/>
        <family val="2"/>
        <scheme val="minor"/>
      </rPr>
      <t>o</t>
    </r>
    <r>
      <rPr>
        <sz val="10"/>
        <rFont val="Calibri"/>
        <family val="2"/>
        <scheme val="minor"/>
      </rPr>
      <t>C</t>
    </r>
  </si>
  <si>
    <r>
      <t>Nominated:  5500.000 m3 @ 15</t>
    </r>
    <r>
      <rPr>
        <vertAlign val="superscript"/>
        <sz val="10"/>
        <rFont val="Calibri"/>
        <family val="2"/>
        <scheme val="minor"/>
      </rPr>
      <t>o</t>
    </r>
    <r>
      <rPr>
        <sz val="10"/>
        <rFont val="Calibri"/>
        <family val="2"/>
        <scheme val="minor"/>
      </rPr>
      <t>C</t>
    </r>
  </si>
  <si>
    <t>commenced loading</t>
  </si>
  <si>
    <t>MAD</t>
  </si>
  <si>
    <t>NOTICE  OF  READINESS</t>
  </si>
  <si>
    <t>and  any  addendum  thereto.</t>
  </si>
  <si>
    <t>Drafts (m)</t>
  </si>
  <si>
    <t>Quantity as per Max Allowable Intake:</t>
  </si>
  <si>
    <t>500 m3/h (3100 Bbls/h)</t>
  </si>
  <si>
    <t>MADelgado</t>
  </si>
  <si>
    <t>ALL FAST</t>
  </si>
  <si>
    <t>Vessel was not provided an MSDS for the cargo</t>
  </si>
  <si>
    <t>3000 m3/h (18800 Bbls/h) or 10Bar</t>
  </si>
  <si>
    <r>
      <t xml:space="preserve">Max </t>
    </r>
    <r>
      <rPr>
        <strike/>
        <sz val="10"/>
        <rFont val="Calibri"/>
        <family val="2"/>
        <scheme val="minor"/>
      </rPr>
      <t>Depth</t>
    </r>
    <r>
      <rPr>
        <sz val="10"/>
        <rFont val="Calibri"/>
        <family val="2"/>
        <scheme val="minor"/>
      </rPr>
      <t>/Draft at Berth</t>
    </r>
  </si>
  <si>
    <t>3 x 16"</t>
  </si>
  <si>
    <t>One (1) Long Blast / "STOP" 3x Shore Radio</t>
  </si>
  <si>
    <t>Maximum 30504 MT</t>
  </si>
  <si>
    <t>V. Volkovs</t>
  </si>
  <si>
    <t>OS Longakit</t>
  </si>
  <si>
    <t>Wiper Pacure</t>
  </si>
  <si>
    <t>BSN O. Abenoja</t>
  </si>
  <si>
    <t>AB3 W. Diao</t>
  </si>
  <si>
    <t>AB2 K. Dela Cruz</t>
  </si>
  <si>
    <t>AB1 J. Obtial</t>
  </si>
  <si>
    <t>2/O V. Negajs</t>
  </si>
  <si>
    <t>2/O V. Izmodenovs</t>
  </si>
  <si>
    <t>2/O  E. Orfano</t>
  </si>
  <si>
    <t>KEY   TRANSFER   MEETING</t>
  </si>
  <si>
    <t>Terminal :</t>
  </si>
  <si>
    <t>Date :</t>
  </si>
  <si>
    <t>Vessel :</t>
  </si>
  <si>
    <t>Voy No :</t>
  </si>
  <si>
    <t>Berth :</t>
  </si>
  <si>
    <t>Sequence / 
Cargo Stages</t>
  </si>
  <si>
    <t xml:space="preserve">     C/P</t>
  </si>
  <si>
    <t>Berth was occupied on arrival</t>
  </si>
  <si>
    <t>Delay awaiting commencement of Loading /</t>
  </si>
  <si>
    <t>Actual loading rates, provided by terminal:</t>
  </si>
  <si>
    <t>C/P Date</t>
  </si>
  <si>
    <t>Charterer</t>
  </si>
  <si>
    <t>FREE PRATIQUE GRANTED</t>
  </si>
  <si>
    <t>FIRST LINE ASHORE / COMMENCE MOORING</t>
  </si>
  <si>
    <t>PILOT ONBOARD</t>
  </si>
  <si>
    <t>PILOT OFF</t>
  </si>
  <si>
    <t>following Cargo holds:</t>
  </si>
  <si>
    <t>Version</t>
  </si>
  <si>
    <t>MATE'S RECEIPT</t>
  </si>
  <si>
    <t>START OF WORKING DAY</t>
  </si>
  <si>
    <t>Upper cargo hold Fwd</t>
  </si>
  <si>
    <t>Upper cargo hold Aft</t>
  </si>
  <si>
    <t>Middle cargo hold Fwd</t>
  </si>
  <si>
    <t>Middle cargo hold Aft</t>
  </si>
  <si>
    <t>Lower cargo hold Fwd</t>
  </si>
  <si>
    <t>Lower cargo hold Aft</t>
  </si>
  <si>
    <t>Ship</t>
  </si>
  <si>
    <t>Sequence time estimation</t>
  </si>
  <si>
    <t>Fwd holds</t>
  </si>
  <si>
    <t>Aft holds</t>
  </si>
  <si>
    <t>Location to be loaded</t>
  </si>
  <si>
    <t>Total pallets on board end of sequence</t>
  </si>
  <si>
    <t xml:space="preserve">Final </t>
  </si>
  <si>
    <t>Total time Expected</t>
  </si>
  <si>
    <t>Lashing and Housekeeping</t>
  </si>
  <si>
    <t>Remaining time estimation</t>
  </si>
  <si>
    <t>Pallets to be loaded start of sequence</t>
  </si>
  <si>
    <t>Remaining pallets to load</t>
  </si>
  <si>
    <t>1h30</t>
  </si>
  <si>
    <t>38h30</t>
  </si>
  <si>
    <t>12h22</t>
  </si>
  <si>
    <t>26h08</t>
  </si>
  <si>
    <t>13h17</t>
  </si>
  <si>
    <t>12h51</t>
  </si>
  <si>
    <t>11h19</t>
  </si>
  <si>
    <t>01h32</t>
  </si>
  <si>
    <r>
      <rPr>
        <b/>
        <u/>
        <sz val="10"/>
        <rFont val="Calibri"/>
        <family val="2"/>
        <scheme val="minor"/>
      </rPr>
      <t>Loading</t>
    </r>
    <r>
      <rPr>
        <b/>
        <sz val="10"/>
        <rFont val="Calibri"/>
        <family val="2"/>
        <scheme val="minor"/>
      </rPr>
      <t xml:space="preserve">
Sequence 1 : Loading of lower cargo holds: </t>
    </r>
    <r>
      <rPr>
        <i/>
        <sz val="10"/>
        <rFont val="Calibri"/>
        <family val="2"/>
        <scheme val="minor"/>
      </rPr>
      <t>Heel to be managed with Heeling tanks and booms.</t>
    </r>
    <r>
      <rPr>
        <b/>
        <sz val="10"/>
        <rFont val="Calibri"/>
        <family val="2"/>
        <scheme val="minor"/>
      </rPr>
      <t xml:space="preserve">
Sequence 2 : Loading of middle cargo holds: </t>
    </r>
    <r>
      <rPr>
        <i/>
        <sz val="10"/>
        <rFont val="Calibri"/>
        <family val="2"/>
        <scheme val="minor"/>
      </rPr>
      <t>Heel to be managed with Heeling tanks and booms. Empty 1C and 5C. Load BELCO as picture</t>
    </r>
    <r>
      <rPr>
        <b/>
        <sz val="10"/>
        <rFont val="Calibri"/>
        <family val="2"/>
        <scheme val="minor"/>
      </rPr>
      <t xml:space="preserve">
Sequence 3 : Loading of upper cargo holds:</t>
    </r>
    <r>
      <rPr>
        <i/>
        <sz val="10"/>
        <rFont val="Calibri"/>
        <family val="2"/>
        <scheme val="minor"/>
      </rPr>
      <t xml:space="preserve">Heel can be managed with Heeling tanks and booms. Empty 2C and 3T.
</t>
    </r>
    <r>
      <rPr>
        <b/>
        <sz val="10"/>
        <rFont val="Calibri"/>
        <family val="2"/>
        <scheme val="minor"/>
      </rPr>
      <t>After offloading, FillWB5C, empty WB3T</t>
    </r>
  </si>
  <si>
    <t>ALL FAST AT BERTH</t>
  </si>
  <si>
    <t>EOSP</t>
  </si>
  <si>
    <t>FWD</t>
  </si>
  <si>
    <t>AFT</t>
  </si>
  <si>
    <t>PILOT ON BOARD</t>
  </si>
  <si>
    <t>PILOT OUT</t>
  </si>
  <si>
    <t>ARTEMIS</t>
  </si>
  <si>
    <t>GANGWAY IN POSITION</t>
  </si>
  <si>
    <t>FWD &amp; AFT CARGO HATCH OPEN</t>
  </si>
  <si>
    <t>ALL HATCHES CLOSED AND LOCKED BY CREW</t>
  </si>
  <si>
    <t>HATCHES OPENED AND CRANES TESTED BY CREW</t>
  </si>
  <si>
    <t>LAST LINE</t>
  </si>
  <si>
    <t>Arrival Drafts</t>
  </si>
  <si>
    <t>Departure Drafts</t>
  </si>
  <si>
    <t>Import</t>
  </si>
  <si>
    <t>Export</t>
  </si>
  <si>
    <t>Loading Port and country:</t>
  </si>
  <si>
    <t>Cargo should the one designated on the Bill of Ladding or Charter Party</t>
  </si>
  <si>
    <t>Instructions</t>
  </si>
  <si>
    <t>Name of the vessel. Should be the registered name without "S/V" of "M/V"</t>
  </si>
  <si>
    <t>Name of the port and country</t>
  </si>
  <si>
    <t>Name of the Agent and sub-agent, if any</t>
  </si>
  <si>
    <t>Name of the cargo surveyor, if any</t>
  </si>
  <si>
    <t>Name of the cargo broker, if any</t>
  </si>
  <si>
    <t>Name of the Commercial Ship Owner</t>
  </si>
  <si>
    <t>Date of signature of the Charter Party, if any</t>
  </si>
  <si>
    <t>Name of the Charterer as per Charter Party, if any</t>
  </si>
  <si>
    <t>Mandatory items:</t>
  </si>
  <si>
    <t>EOSP (End of Sea Passage)</t>
  </si>
  <si>
    <t>SOSP (Start of Sea Passage) also known as COSP (Commence of Sea Passage)</t>
  </si>
  <si>
    <t>Notice of Readiness RE-Tendered - Without prejudice</t>
  </si>
  <si>
    <t>Pilot onboard</t>
  </si>
  <si>
    <t>Tug made fast / escorting - Name of the tug</t>
  </si>
  <si>
    <t>First line ashore</t>
  </si>
  <si>
    <t>All fast</t>
  </si>
  <si>
    <t>Free pratique granted</t>
  </si>
  <si>
    <t>Ship's / Shore gangway rigged</t>
  </si>
  <si>
    <t>FWD / Aft cargo hold hatch open / close</t>
  </si>
  <si>
    <t>Completed loading / discharging</t>
  </si>
  <si>
    <t>Loading / discharging resumed</t>
  </si>
  <si>
    <t>Loading / Discharging suspended - Shore / Ship stop</t>
  </si>
  <si>
    <t>Commence unmooring</t>
  </si>
  <si>
    <t>All clear</t>
  </si>
  <si>
    <t>Pilot off</t>
  </si>
  <si>
    <t>Tug cast off</t>
  </si>
  <si>
    <t>Tug free</t>
  </si>
  <si>
    <t>Anchored</t>
  </si>
  <si>
    <t>Anchor aweigh</t>
  </si>
  <si>
    <t>Cargo was not ready on arrival</t>
  </si>
  <si>
    <t>Discharging shore readiness</t>
  </si>
  <si>
    <t xml:space="preserve">in accordance with the terms and conditions of Charter Party dated </t>
  </si>
  <si>
    <t>, under my command, has arrived at roads / berth / anchorage of</t>
  </si>
  <si>
    <t>on the</t>
  </si>
  <si>
    <t>And she is in all respects ready to load / discharge the cargo of :</t>
  </si>
  <si>
    <t>(C/P date)</t>
  </si>
  <si>
    <t>NOTICE OF READINESS RE-TENDERED</t>
  </si>
  <si>
    <t>, under my command, has arrived on roads/at berth/anchorage of</t>
  </si>
  <si>
    <t xml:space="preserve">on the </t>
  </si>
  <si>
    <t>And she is in all respects ready to load / discharge the cargoes of :</t>
  </si>
  <si>
    <t>Dockers:</t>
  </si>
  <si>
    <t>This is to certify that the undersigned, duly appointed by the cargo supplier, after having inspected the holds</t>
  </si>
  <si>
    <t>(Cargo holds designation)</t>
  </si>
  <si>
    <t>Upper fore, Middle Fore, Lower Fore, Upper aft, Middle aft, Lower aft</t>
  </si>
  <si>
    <t>has found them free of pest, remains of waste or residues, odours, and fit to receive the nominated cargo of</t>
  </si>
  <si>
    <t>HOLDS READINESS PRIOR LOADING</t>
  </si>
  <si>
    <t xml:space="preserve">This is to place on record that </t>
  </si>
  <si>
    <t>LETTER OF PROTEST - FREE PRATIQUE</t>
  </si>
  <si>
    <t>hours local time</t>
  </si>
  <si>
    <t xml:space="preserve"> and requested Free Pratique.</t>
  </si>
  <si>
    <t>However, since free pratique has not been granted on her arrival, on behalf of my disponent owners, charterers and other interested parties, I hereby lodge a protest and hold you liable for all consequential losses, damages, delays and/or claims that may arise due to this fact.
We hereby reserve the right to take such further action as may be considered necessary to protect the interest of and also reserve the right to refer to this Letter of Protest at a future date and place convenient to the Owners and / or  charterers.</t>
  </si>
  <si>
    <t>Issue this LOP by e-mail immediately after arrival if the Free Pratique is not granted automatically on arrival and if a Free Pratique inspection is required and is causing delays.</t>
  </si>
  <si>
    <t xml:space="preserve">   LETTER OF PROTEST - DELAYS &amp; RESTRICTIONS</t>
  </si>
  <si>
    <t>Additionnal information</t>
  </si>
  <si>
    <t>Terminal overloaded nominated cargo:</t>
  </si>
  <si>
    <t>page of BL.</t>
  </si>
  <si>
    <t xml:space="preserve">No condition of carriage mentioned on the back </t>
  </si>
  <si>
    <t xml:space="preserve">   LETTER OF PROTEST - DOCUMENTATION</t>
  </si>
  <si>
    <t xml:space="preserve">Cargo temperature after loading higher than </t>
  </si>
  <si>
    <t>instructed:</t>
  </si>
  <si>
    <t>Additionnal protest:</t>
  </si>
  <si>
    <t>Voyage charter party date not mentioned on B/L</t>
  </si>
  <si>
    <t>Name of the Master</t>
  </si>
  <si>
    <t>Version 2</t>
  </si>
  <si>
    <t xml:space="preserve">Berth: </t>
  </si>
  <si>
    <t xml:space="preserve">   LETTER OF PROTEST</t>
  </si>
  <si>
    <t xml:space="preserve">   LETTER OF PROTEST - DEADFREIGHT</t>
  </si>
  <si>
    <t>Please be informed that after completion of loading, deadfreight is as follows</t>
  </si>
  <si>
    <t>MT</t>
  </si>
  <si>
    <t>Pallets</t>
  </si>
  <si>
    <t>PRE-LOADING / DISCHARGING MEETING</t>
  </si>
  <si>
    <t>In case of dangerous goods, delivery of MSDS</t>
  </si>
  <si>
    <t>Onboard / Alongside</t>
  </si>
  <si>
    <t>Remittance of the stowage plan</t>
  </si>
  <si>
    <t>Safety letter, security routes, to be agreed upon with all parties.</t>
  </si>
  <si>
    <t>How many person per hold?</t>
  </si>
  <si>
    <t>Time of the last truck of the working day</t>
  </si>
  <si>
    <t>Sequence loading (groups of pallets)</t>
  </si>
  <si>
    <t>Docker's shifts timings including breaks:</t>
  </si>
  <si>
    <t>WhatsApp contact of shore person in charge:</t>
  </si>
  <si>
    <t xml:space="preserve">Notice of Readiness tendered on the </t>
  </si>
  <si>
    <t>(Cargo Designation)</t>
  </si>
  <si>
    <t xml:space="preserve">I, hereby Re-Tender NOR without prejudice to any previous NOR tendered, on the below dates / times :
</t>
  </si>
  <si>
    <t>24 DEC 2025 08:00 LT</t>
  </si>
  <si>
    <t>24 DEC 2025 09:00 LT</t>
  </si>
  <si>
    <t>DROPPED ANCHOR</t>
  </si>
  <si>
    <t>24 DEC 2025 18:00 LT</t>
  </si>
  <si>
    <t>24 DEC 2025 20:00 LT</t>
  </si>
  <si>
    <t>In addition to the first Notice of Readiness (See NOR tab) some additionnal notices of readiness are tendered:
- Arrival at contingency anchorage (Anchored)
- Start of working day 09:00 LT
- Arrival at berth (All fast)
- Free Pratique granted (if not granted on arrival)
- Ready to load if discharging took place before (after completion of hold cleaning or immediately after the last pallet was discharged.
Rentendered Notice of Readiness should be sent by e-mail to the Agent with the same wording as this NOR Retendered and request the Agent to follow-up this notice to any party involved in the cargo operations. Subject of this e-mail should be clear and contains "Notice of Readiness Retendered" and the navire of the vessel.
If any other e-mail of involved parties are know, such as Charterer, Broker, Terminal, add them.
Operation@towt.eu should in copy of this e-mail
Retendered NOR should state "without prejudice to any previous NOR tendered"
A hard copy as a racap of all e-mails sent, signed by Master, should also be signed and stamped by terminal</t>
  </si>
  <si>
    <t>Chief Officer or Master can sign this certificate. If you are not sure, ask Master.
Do not load cargo before having a hard copy of this certificate signed and stamped by the terminal of a surveyor.
If a hold is not ready to load, do not accept any mention on a Hold readiness certificate. Prefer to remove the designation of the hold not ready and then clean the hold and request a new inspection later.
After the second inspection try to obtain a certificate signed with all the holds mentionned. If not possible, only with the designation of the hold re-inspected.</t>
  </si>
  <si>
    <t>Transfer of cargo responsibility as per INCOTERMS:</t>
  </si>
  <si>
    <t>Name of Charterer</t>
  </si>
  <si>
    <t>Name of Terminal</t>
  </si>
  <si>
    <t>INWARD CLEARANCE GRANTED</t>
  </si>
  <si>
    <t>DOCKERS ONBOARD</t>
  </si>
  <si>
    <t>COMMENCED DISCHARGING</t>
  </si>
  <si>
    <t>DISCHARGING RESUMED</t>
  </si>
  <si>
    <t>DISCHARGING SUSPENDED - SHIP STOP FOR USCG PSC DRILLS</t>
  </si>
  <si>
    <t>DISCHARGING SUSPENDED - SHORE STOP FOR DOCKERS BREAK.</t>
  </si>
  <si>
    <t>DISCHARGING SUSPENDED - SHORE STOP END OF WORKING DAY</t>
  </si>
  <si>
    <t>…</t>
  </si>
  <si>
    <t>DISCHARGING COMPLETED</t>
  </si>
  <si>
    <t>NOTICE OF READINESS TENDERED</t>
  </si>
  <si>
    <t xml:space="preserve">Notice of Readiness should be tendered by e-mail to the Agent with the same wording as this NOR and request the Agent to follow up this notice to any party involved in the cargo operations. Subject of this e-mail should be clear and contains "Notice of Readiness" and the navire of the vessel.
If any other e-mail of involved parties are know, such as Charterer, Broker, Terminal, add them.
Operation@towt.eu should in copy of this e-mail
When and where the NOR to be tendered? 
At pilot boarding ground or in vicinity of such location even if the vessel is instructed to proceed to anchorage.
NOR should be retendered in several cases in order to be sure of at least one will be valid. Please check NOR RT tab.  
A hard copy, signed by Master, should be signed and stamped by terminal.
How to fill this form? 
"roads/at berth/anchorage": remove the unproper cases.
Dates should be explicit: avoid "02/01/2025", prefer "02 JAN 2025" to avoid misinterpretation between 01 FEB 2025 and 02 JAN 2025.
Name of the cargo should be same as the cargo instructed to be loaded or the same as stated on BLs. 
"Pallets" or "bags" is not valid. 
</t>
  </si>
  <si>
    <t>"</t>
  </si>
  <si>
    <t>NOTICE OF READINESS RE-TENDERED - WITHOUT PREJUDICE</t>
  </si>
  <si>
    <t xml:space="preserve">Letters of Protest should be signed by the Master only.
Letters of Protest or Notice of Protest of external party should by signed only by the Master with the mention "For receipt only without prejudice".
All delays cause by external parties should be protested against: break, working hours not respected, shore forklift break down, pilot, berth…
If the cause of the delay is not clear, avoid giving details, just be factual.
Avoid detail such as "See Statement of Fact". LOP for delays should be explicite and can be understood without reference to SOF. 
</t>
  </si>
  <si>
    <t>Letters of Protest should be signed by the Master only.
Letters of Protest or Notice of Protest of external party should by signed only by the Master with the mention "For receipt only without prejudice".
MSDS should be provided in the language of importation country and be delivered to the terminal before discharging.</t>
  </si>
  <si>
    <t>Letters of Protest should be signed by the Master only.
Letters of Protest or Notice of Protest of external party should by signed only by the Master with the mention "For receipt only without prejudice".</t>
  </si>
  <si>
    <t>Letters of Protest should be signed by the Master only.
Letters of Protest or Notice of Protest of external party should by signed only by the Master with the mention "For receipt only without prejudice".
If the vessel is not fully loaded, issue this letter of protest stating the deadfreight: difference between ship capacity and actual quantity of cargo.</t>
  </si>
  <si>
    <t>If the terminal is not issing the Mate's receipt (inventory of the cargo loaded), the ship's personnel should count and reference each package.</t>
  </si>
  <si>
    <t>Does the Terminal issu the Mate's Receipt?</t>
  </si>
  <si>
    <t>Name of the Berth</t>
  </si>
  <si>
    <t>Name of the Docker's Company</t>
  </si>
  <si>
    <t>"Import voyage number" should be the number of the voyage ending on arrival. "Export voyage number" should be the next voyage number</t>
  </si>
  <si>
    <t>To whom it may concern</t>
  </si>
  <si>
    <t>CFOOP XX - Cargo Documents</t>
  </si>
  <si>
    <t>SOSP</t>
  </si>
  <si>
    <t>Export Voyage</t>
  </si>
  <si>
    <t>Import Voyage</t>
  </si>
  <si>
    <t>Cargo holds inspection commenced / completed</t>
  </si>
  <si>
    <t>01/01/2026</t>
  </si>
  <si>
    <t>Forklift number and location</t>
  </si>
  <si>
    <t>CONDITION OF FORKLIFTS</t>
  </si>
  <si>
    <t>Nominated Quantity</t>
  </si>
  <si>
    <t>Surveyor:</t>
  </si>
  <si>
    <t>Agency:</t>
  </si>
  <si>
    <t>Broker:</t>
  </si>
  <si>
    <t>Master:</t>
  </si>
  <si>
    <t>Disponent Owner:</t>
  </si>
  <si>
    <t>Dockers' Foreman</t>
  </si>
  <si>
    <t>List of damages before cargo operations</t>
  </si>
  <si>
    <t>Is there any protection against rain provided for cargo?</t>
  </si>
  <si>
    <t>Forklifts condition certificate signed and stamped</t>
  </si>
  <si>
    <t>Cargo hold certificate signed and stamped</t>
  </si>
  <si>
    <t>Fumigation certificate, if any</t>
  </si>
  <si>
    <t xml:space="preserve">Chief Officer or Master can sign this certificate. 
This is the assessment of forklift before the Dockers handle them.
If damages are noticed at the end of the cargo operations or during the cargo operation, issu a letter of protest accordingly.
Forklift number and location: "Aft hold" or "Fwd hold" and number 1 to 4 or serial numbers if identification is not clearly done.
Fill as follows:
</t>
  </si>
  <si>
    <t>Commenced loading / discharging</t>
  </si>
  <si>
    <t>To be signed by Master only.
Agent or Terminal SOF should be same as Ship's SOF. Do not hesitate to coordinate in advance for having the same timings.
Other SOF should be signed only by Master with the mention "For receipt only without prejudice. Ref Ship's SOF".
Any delay, start/stop of cargo operations and cause should be documented and letter of Protest should be issued accordingly.
Usually the SOF is signed after cargo operation and lines from Pilot onboard to SOSP can be added by hand.
No blank should be left between lines, including in the Date colomn.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</si>
</sst>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2">
    <numFmt numFmtId="41" formatCode="_-* #,##0_-;\-* #,##0_-;_-* &quot;-&quot;_-;_-@_-"/>
    <numFmt numFmtId="43" formatCode="_-* #,##0.00_-;\-* #,##0.00_-;_-* &quot;-&quot;??_-;_-@_-"/>
    <numFmt numFmtId="164" formatCode="_(&quot;$&quot;* #,##0.00_);_(&quot;$&quot;* \(#,##0.00\);_(&quot;$&quot;* &quot;-&quot;??_);_(@_)"/>
    <numFmt numFmtId="165" formatCode="[$-409]d/mmm/yyyy;@"/>
    <numFmt numFmtId="166" formatCode="h:mm:ss;@"/>
    <numFmt numFmtId="167" formatCode="_ * #,##0.00_ ;_ * \-#,##0.00_ ;_ * &quot;-&quot;??_ ;_ @_ "/>
    <numFmt numFmtId="168" formatCode="m\o\n\th\ d\,\ yyyy"/>
    <numFmt numFmtId="169" formatCode="#.00"/>
    <numFmt numFmtId="170" formatCode="#."/>
    <numFmt numFmtId="171" formatCode="[$-409]d\-mmm\-yy;@"/>
    <numFmt numFmtId="172" formatCode="[$-409]d\-mmm\-yyyy;@"/>
    <numFmt numFmtId="173" formatCode="dd/mmm/yy\ hh:mm"/>
    <numFmt numFmtId="174" formatCode="0.000"/>
    <numFmt numFmtId="175" formatCode="0.0000"/>
    <numFmt numFmtId="176" formatCode="#,##0."/>
    <numFmt numFmtId="177" formatCode="0&quot;cu.m/h&quot;"/>
    <numFmt numFmtId="178" formatCode="&quot;$&quot;#."/>
    <numFmt numFmtId="179" formatCode="_([$€]* #,##0.00_);_([$€]* \(#,##0.00\);_([$€]* &quot;-&quot;??_);_(@_)"/>
    <numFmt numFmtId="180" formatCode="_-&quot;L.&quot;\ * #,##0_-;\-&quot;L.&quot;\ * #,##0_-;_-&quot;L.&quot;\ * &quot;-&quot;_-;_-@_-"/>
    <numFmt numFmtId="181" formatCode="_(&quot;kr&quot;\ * #,##0.00_);_(&quot;kr&quot;\ * \(#,##0.00\);_(&quot;kr&quot;\ * &quot;-&quot;??_);_(@_)"/>
    <numFmt numFmtId="182" formatCode="0\ &quot;BAR&quot;"/>
    <numFmt numFmtId="183" formatCode="0\ &quot;M3/HR&quot;"/>
    <numFmt numFmtId="184" formatCode="#,##0.000"/>
    <numFmt numFmtId="185" formatCode="0.0"/>
    <numFmt numFmtId="186" formatCode="dd\ mmmm\ yyyy"/>
    <numFmt numFmtId="187" formatCode="_ * #,##0.000_ ;_ * \-#,##0.000_ ;_ * &quot;-&quot;??_ ;_ @_ "/>
    <numFmt numFmtId="188" formatCode="dd\ mmm\ yyyy"/>
    <numFmt numFmtId="189" formatCode="[$]d\ mmm\ yyyy;@" x16r2:formatCode16="[$-en-150,1]d\ mmm\ yyyy;@"/>
    <numFmt numFmtId="190" formatCode="0.0\ &quot;mt&quot;"/>
    <numFmt numFmtId="191" formatCode="00\:00"/>
    <numFmt numFmtId="192" formatCode="d/m/yy;@"/>
    <numFmt numFmtId="193" formatCode="[$-409]dd\-mmm\-yy;@"/>
  </numFmts>
  <fonts count="63">
    <font>
      <sz val="10"/>
      <name val="Arial"/>
    </font>
    <font>
      <sz val="11"/>
      <color theme="1"/>
      <name val="Calibri"/>
      <family val="2"/>
      <scheme val="minor"/>
    </font>
    <font>
      <sz val="11"/>
      <color theme="1"/>
      <name val="Calibri"/>
      <family val="2"/>
      <scheme val="minor"/>
    </font>
    <font>
      <sz val="10"/>
      <name val="Calibri"/>
      <family val="2"/>
      <scheme val="minor"/>
    </font>
    <font>
      <b/>
      <i/>
      <sz val="11"/>
      <name val="Calibri"/>
      <family val="2"/>
      <scheme val="minor"/>
    </font>
    <font>
      <b/>
      <sz val="16"/>
      <name val="Calibri"/>
      <family val="2"/>
      <scheme val="minor"/>
    </font>
    <font>
      <b/>
      <sz val="10"/>
      <name val="Calibri"/>
      <family val="2"/>
      <scheme val="minor"/>
    </font>
    <font>
      <b/>
      <sz val="12"/>
      <name val="Calibri"/>
      <family val="2"/>
      <scheme val="minor"/>
    </font>
    <font>
      <sz val="10"/>
      <name val="MS Sans Serif"/>
      <family val="2"/>
    </font>
    <font>
      <sz val="11"/>
      <name val="Calibri"/>
      <family val="2"/>
      <scheme val="minor"/>
    </font>
    <font>
      <sz val="12"/>
      <name val="Calibri"/>
      <family val="2"/>
      <scheme val="minor"/>
    </font>
    <font>
      <i/>
      <sz val="8"/>
      <name val="Calibri"/>
      <family val="2"/>
      <scheme val="minor"/>
    </font>
    <font>
      <sz val="11"/>
      <color indexed="8"/>
      <name val="Calibri"/>
      <family val="2"/>
    </font>
    <font>
      <sz val="10"/>
      <name val="Arial"/>
      <family val="2"/>
    </font>
    <font>
      <sz val="1"/>
      <color indexed="8"/>
      <name val="Courier"/>
      <family val="3"/>
    </font>
    <font>
      <sz val="10"/>
      <name val="Helv"/>
    </font>
    <font>
      <b/>
      <sz val="12"/>
      <name val="Helv"/>
    </font>
    <font>
      <b/>
      <sz val="1"/>
      <color indexed="8"/>
      <name val="Courier"/>
      <family val="3"/>
    </font>
    <font>
      <sz val="12"/>
      <color indexed="8"/>
      <name val="SWISS"/>
    </font>
    <font>
      <b/>
      <sz val="14"/>
      <name val="Calibri"/>
      <family val="2"/>
      <scheme val="minor"/>
    </font>
    <font>
      <b/>
      <sz val="9"/>
      <name val="Calibri"/>
      <family val="2"/>
      <scheme val="minor"/>
    </font>
    <font>
      <sz val="9"/>
      <name val="Calibri"/>
      <family val="2"/>
      <scheme val="minor"/>
    </font>
    <font>
      <i/>
      <sz val="9"/>
      <name val="Calibri"/>
      <family val="2"/>
      <scheme val="minor"/>
    </font>
    <font>
      <i/>
      <sz val="10"/>
      <name val="Calibri"/>
      <family val="2"/>
    </font>
    <font>
      <i/>
      <sz val="10"/>
      <name val="Calibri"/>
      <family val="2"/>
      <scheme val="minor"/>
    </font>
    <font>
      <b/>
      <sz val="11"/>
      <name val="Calibri"/>
      <family val="2"/>
      <scheme val="minor"/>
    </font>
    <font>
      <sz val="6"/>
      <name val="Calibri"/>
      <family val="2"/>
      <scheme val="minor"/>
    </font>
    <font>
      <u/>
      <sz val="10"/>
      <name val="Calibri"/>
      <family val="2"/>
      <scheme val="minor"/>
    </font>
    <font>
      <u/>
      <sz val="10"/>
      <color indexed="12"/>
      <name val="Arial"/>
      <family val="2"/>
      <charset val="204"/>
    </font>
    <font>
      <u/>
      <sz val="10"/>
      <color indexed="36"/>
      <name val="Arial"/>
      <family val="2"/>
      <charset val="204"/>
    </font>
    <font>
      <u/>
      <sz val="10"/>
      <color indexed="12"/>
      <name val="Arial"/>
      <family val="2"/>
    </font>
    <font>
      <u/>
      <sz val="10"/>
      <color indexed="36"/>
      <name val="Arial"/>
      <family val="2"/>
    </font>
    <font>
      <sz val="10"/>
      <name val="Arial"/>
      <family val="2"/>
      <charset val="204"/>
    </font>
    <font>
      <sz val="1"/>
      <color indexed="8"/>
      <name val="Courier"/>
      <family val="1"/>
      <charset val="204"/>
    </font>
    <font>
      <b/>
      <sz val="8"/>
      <name val="Arial"/>
      <family val="2"/>
    </font>
    <font>
      <sz val="10"/>
      <name val="Times New Roman"/>
      <family val="1"/>
      <charset val="204"/>
    </font>
    <font>
      <sz val="11"/>
      <color rgb="FF000000"/>
      <name val="Calibri"/>
      <family val="2"/>
    </font>
    <font>
      <sz val="10"/>
      <name val="Courier"/>
      <family val="3"/>
    </font>
    <font>
      <sz val="12"/>
      <name val="Book Antiqua"/>
      <family val="1"/>
    </font>
    <font>
      <sz val="10"/>
      <color indexed="8"/>
      <name val="Courier"/>
      <family val="1"/>
      <charset val="204"/>
    </font>
    <font>
      <sz val="10"/>
      <name val="MS Sans Serif"/>
      <family val="2"/>
      <charset val="204"/>
    </font>
    <font>
      <sz val="12"/>
      <name val="Arial"/>
      <family val="2"/>
      <charset val="204"/>
    </font>
    <font>
      <sz val="8"/>
      <name val="Arial Narrow"/>
      <family val="2"/>
    </font>
    <font>
      <sz val="9"/>
      <name val="Arial"/>
      <family val="2"/>
    </font>
    <font>
      <sz val="11"/>
      <color theme="1"/>
      <name val="Calibri"/>
      <family val="2"/>
      <charset val="204"/>
      <scheme val="minor"/>
    </font>
    <font>
      <sz val="11"/>
      <name val="돋움"/>
      <family val="3"/>
      <charset val="129"/>
    </font>
    <font>
      <sz val="8"/>
      <name val="Calibri"/>
      <family val="2"/>
      <scheme val="minor"/>
    </font>
    <font>
      <vertAlign val="superscript"/>
      <sz val="10"/>
      <name val="Calibri"/>
      <family val="2"/>
      <scheme val="minor"/>
    </font>
    <font>
      <strike/>
      <sz val="10"/>
      <name val="Calibri"/>
      <family val="2"/>
      <scheme val="minor"/>
    </font>
    <font>
      <sz val="8"/>
      <name val="Arial"/>
      <family val="2"/>
    </font>
    <font>
      <b/>
      <sz val="10"/>
      <color rgb="FFFF0000"/>
      <name val="Calibri"/>
      <family val="2"/>
      <scheme val="minor"/>
    </font>
    <font>
      <sz val="12"/>
      <color rgb="FFFF0000"/>
      <name val="Calibri"/>
      <family val="2"/>
      <scheme val="minor"/>
    </font>
    <font>
      <b/>
      <sz val="8"/>
      <name val="Calibri"/>
      <family val="2"/>
      <scheme val="minor"/>
    </font>
    <font>
      <b/>
      <sz val="20"/>
      <name val="Calibri"/>
      <family val="2"/>
      <scheme val="minor"/>
    </font>
    <font>
      <b/>
      <sz val="10"/>
      <color theme="0"/>
      <name val="Arial"/>
      <family val="2"/>
    </font>
    <font>
      <b/>
      <u/>
      <sz val="10"/>
      <name val="Calibri"/>
      <family val="2"/>
      <scheme val="minor"/>
    </font>
    <font>
      <b/>
      <sz val="10"/>
      <name val="Arial"/>
      <family val="2"/>
    </font>
    <font>
      <b/>
      <sz val="22"/>
      <name val="Arial"/>
      <family val="2"/>
    </font>
    <font>
      <sz val="12"/>
      <name val="Arial"/>
      <family val="2"/>
    </font>
    <font>
      <b/>
      <i/>
      <sz val="10"/>
      <name val="Arial"/>
      <family val="2"/>
    </font>
    <font>
      <i/>
      <sz val="11"/>
      <name val="Calibri"/>
      <family val="2"/>
      <scheme val="minor"/>
    </font>
    <font>
      <b/>
      <sz val="10"/>
      <name val="Freestyle Script"/>
      <family val="4"/>
    </font>
    <font>
      <b/>
      <sz val="18"/>
      <name val="Arial"/>
      <family val="2"/>
    </font>
  </fonts>
  <fills count="14">
    <fill>
      <patternFill patternType="none"/>
    </fill>
    <fill>
      <patternFill patternType="gray125"/>
    </fill>
    <fill>
      <patternFill patternType="solid">
        <fgColor theme="0"/>
        <bgColor indexed="64"/>
      </patternFill>
    </fill>
    <fill>
      <patternFill patternType="solid">
        <fgColor indexed="9"/>
      </patternFill>
    </fill>
    <fill>
      <patternFill patternType="solid">
        <fgColor indexed="9"/>
        <bgColor indexed="64"/>
      </patternFill>
    </fill>
    <fill>
      <patternFill patternType="solid">
        <fgColor theme="0" tint="-0.14996795556505021"/>
        <bgColor indexed="64"/>
      </patternFill>
    </fill>
    <fill>
      <patternFill patternType="lightDown">
        <bgColor theme="0" tint="-0.14993743705557422"/>
      </patternFill>
    </fill>
    <fill>
      <patternFill patternType="solid">
        <fgColor indexed="43"/>
        <bgColor indexed="64"/>
      </patternFill>
    </fill>
    <fill>
      <patternFill patternType="solid">
        <fgColor theme="5" tint="0.59999389629810485"/>
        <bgColor indexed="64"/>
      </patternFill>
    </fill>
    <fill>
      <patternFill patternType="solid">
        <fgColor rgb="FF92D050"/>
        <bgColor indexed="64"/>
      </patternFill>
    </fill>
    <fill>
      <patternFill patternType="solid">
        <fgColor rgb="FF00B0F0"/>
        <bgColor indexed="64"/>
      </patternFill>
    </fill>
    <fill>
      <patternFill patternType="solid">
        <fgColor theme="0" tint="-0.14999847407452621"/>
        <bgColor indexed="64"/>
      </patternFill>
    </fill>
    <fill>
      <patternFill patternType="solid">
        <fgColor rgb="FF0C5966"/>
        <bgColor indexed="64"/>
      </patternFill>
    </fill>
    <fill>
      <patternFill patternType="solid">
        <fgColor theme="6" tint="0.79998168889431442"/>
        <bgColor indexed="64"/>
      </patternFill>
    </fill>
  </fills>
  <borders count="170">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style="medium">
        <color indexed="64"/>
      </right>
      <top/>
      <bottom style="medium">
        <color indexed="64"/>
      </bottom>
      <diagonal/>
    </border>
    <border>
      <left style="thin">
        <color indexed="64"/>
      </left>
      <right/>
      <top style="medium">
        <color indexed="64"/>
      </top>
      <bottom/>
      <diagonal/>
    </border>
    <border>
      <left/>
      <right style="medium">
        <color indexed="64"/>
      </right>
      <top style="medium">
        <color indexed="64"/>
      </top>
      <bottom/>
      <diagonal/>
    </border>
    <border>
      <left/>
      <right/>
      <top/>
      <bottom style="thin">
        <color indexed="8"/>
      </bottom>
      <diagonal/>
    </border>
    <border>
      <left/>
      <right style="medium">
        <color indexed="64"/>
      </right>
      <top/>
      <bottom style="thin">
        <color indexed="8"/>
      </bottom>
      <diagonal/>
    </border>
    <border>
      <left/>
      <right style="medium">
        <color indexed="64"/>
      </right>
      <top/>
      <bottom style="thin">
        <color indexed="64"/>
      </bottom>
      <diagonal/>
    </border>
    <border>
      <left/>
      <right style="thin">
        <color indexed="64"/>
      </right>
      <top/>
      <bottom/>
      <diagonal/>
    </border>
    <border>
      <left/>
      <right style="medium">
        <color indexed="64"/>
      </right>
      <top style="thin">
        <color indexed="64"/>
      </top>
      <bottom style="thin">
        <color indexed="64"/>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64"/>
      </left>
      <right style="thin">
        <color indexed="8"/>
      </right>
      <top style="medium">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medium">
        <color indexed="64"/>
      </left>
      <right style="thin">
        <color indexed="8"/>
      </right>
      <top style="thin">
        <color indexed="8"/>
      </top>
      <bottom style="thin">
        <color indexed="8"/>
      </bottom>
      <diagonal/>
    </border>
    <border>
      <left style="medium">
        <color indexed="64"/>
      </left>
      <right style="thin">
        <color indexed="8"/>
      </right>
      <top style="thin">
        <color indexed="8"/>
      </top>
      <bottom style="medium">
        <color indexed="8"/>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top style="medium">
        <color indexed="8"/>
      </top>
      <bottom style="thin">
        <color indexed="8"/>
      </bottom>
      <diagonal/>
    </border>
    <border>
      <left/>
      <right style="thin">
        <color indexed="8"/>
      </right>
      <top style="medium">
        <color indexed="8"/>
      </top>
      <bottom style="thin">
        <color indexed="8"/>
      </bottom>
      <diagonal/>
    </border>
    <border>
      <left style="thin">
        <color indexed="8"/>
      </left>
      <right style="medium">
        <color indexed="64"/>
      </right>
      <top style="medium">
        <color indexed="8"/>
      </top>
      <bottom/>
      <diagonal/>
    </border>
    <border>
      <left style="thin">
        <color indexed="8"/>
      </left>
      <right style="medium">
        <color indexed="64"/>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64"/>
      </right>
      <top style="medium">
        <color indexed="8"/>
      </top>
      <bottom style="thin">
        <color indexed="8"/>
      </bottom>
      <diagonal/>
    </border>
    <border>
      <left style="medium">
        <color indexed="64"/>
      </left>
      <right style="medium">
        <color indexed="8"/>
      </right>
      <top style="medium">
        <color indexed="8"/>
      </top>
      <bottom style="thin">
        <color indexed="8"/>
      </bottom>
      <diagonal/>
    </border>
    <border>
      <left style="medium">
        <color indexed="8"/>
      </left>
      <right/>
      <top/>
      <bottom/>
      <diagonal/>
    </border>
    <border>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style="medium">
        <color indexed="8"/>
      </right>
      <top style="thin">
        <color indexed="8"/>
      </top>
      <bottom style="medium">
        <color indexed="8"/>
      </bottom>
      <diagonal/>
    </border>
    <border>
      <left style="medium">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top/>
      <bottom style="medium">
        <color indexed="8"/>
      </bottom>
      <diagonal/>
    </border>
    <border>
      <left/>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top style="thin">
        <color indexed="8"/>
      </top>
      <bottom/>
      <diagonal/>
    </border>
    <border>
      <left/>
      <right/>
      <top style="thin">
        <color indexed="8"/>
      </top>
      <bottom/>
      <diagonal/>
    </border>
    <border>
      <left/>
      <right style="medium">
        <color indexed="8"/>
      </right>
      <top style="thin">
        <color indexed="8"/>
      </top>
      <bottom/>
      <diagonal/>
    </border>
    <border>
      <left/>
      <right style="medium">
        <color indexed="8"/>
      </right>
      <top/>
      <bottom/>
      <diagonal/>
    </border>
    <border>
      <left/>
      <right style="medium">
        <color indexed="8"/>
      </right>
      <top/>
      <bottom style="medium">
        <color indexed="8"/>
      </bottom>
      <diagonal/>
    </border>
    <border>
      <left/>
      <right style="medium">
        <color indexed="64"/>
      </right>
      <top style="thin">
        <color indexed="8"/>
      </top>
      <bottom/>
      <diagonal/>
    </border>
    <border>
      <left style="thin">
        <color indexed="8"/>
      </left>
      <right style="thin">
        <color indexed="8"/>
      </right>
      <top style="thin">
        <color indexed="8"/>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thin">
        <color indexed="64"/>
      </top>
      <bottom style="medium">
        <color indexed="64"/>
      </bottom>
      <diagonal/>
    </border>
    <border>
      <left style="hair">
        <color indexed="64"/>
      </left>
      <right style="hair">
        <color indexed="64"/>
      </right>
      <top/>
      <bottom style="thin">
        <color indexed="64"/>
      </bottom>
      <diagonal/>
    </border>
    <border>
      <left style="medium">
        <color indexed="64"/>
      </left>
      <right style="medium">
        <color indexed="64"/>
      </right>
      <top style="medium">
        <color indexed="64"/>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style="medium">
        <color indexed="64"/>
      </right>
      <top style="thin">
        <color indexed="8"/>
      </top>
      <bottom style="medium">
        <color indexed="64"/>
      </bottom>
      <diagonal/>
    </border>
    <border>
      <left/>
      <right style="hair">
        <color indexed="64"/>
      </right>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bottom style="thin">
        <color indexed="64"/>
      </bottom>
      <diagonal/>
    </border>
    <border>
      <left style="hair">
        <color indexed="64"/>
      </left>
      <right/>
      <top style="thin">
        <color indexed="64"/>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style="hair">
        <color indexed="64"/>
      </right>
      <top/>
      <bottom/>
      <diagonal/>
    </border>
    <border>
      <left style="thin">
        <color indexed="64"/>
      </left>
      <right style="hair">
        <color indexed="64"/>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style="thin">
        <color indexed="8"/>
      </left>
      <right/>
      <top style="thin">
        <color indexed="8"/>
      </top>
      <bottom/>
      <diagonal/>
    </border>
    <border>
      <left style="thin">
        <color indexed="8"/>
      </left>
      <right/>
      <top/>
      <bottom/>
      <diagonal/>
    </border>
    <border>
      <left style="thin">
        <color indexed="8"/>
      </left>
      <right/>
      <top/>
      <bottom style="medium">
        <color indexed="8"/>
      </bottom>
      <diagonal/>
    </border>
    <border>
      <left style="thin">
        <color indexed="64"/>
      </left>
      <right/>
      <top/>
      <bottom style="medium">
        <color indexed="64"/>
      </bottom>
      <diagonal/>
    </border>
    <border>
      <left style="medium">
        <color indexed="64"/>
      </left>
      <right/>
      <top style="medium">
        <color indexed="64"/>
      </top>
      <bottom style="thin">
        <color indexed="8"/>
      </bottom>
      <diagonal/>
    </border>
    <border>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8"/>
      </left>
      <right/>
      <top style="thin">
        <color indexed="8"/>
      </top>
      <bottom style="thin">
        <color indexed="8"/>
      </bottom>
      <diagonal/>
    </border>
    <border>
      <left/>
      <right style="medium">
        <color indexed="8"/>
      </right>
      <top style="thin">
        <color indexed="8"/>
      </top>
      <bottom style="thin">
        <color indexed="8"/>
      </bottom>
      <diagonal/>
    </border>
    <border>
      <left/>
      <right style="thin">
        <color indexed="8"/>
      </right>
      <top style="thin">
        <color indexed="8"/>
      </top>
      <bottom style="medium">
        <color indexed="64"/>
      </bottom>
      <diagonal/>
    </border>
    <border>
      <left style="thin">
        <color indexed="8"/>
      </left>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right style="thin">
        <color indexed="64"/>
      </right>
      <top style="double">
        <color indexed="64"/>
      </top>
      <bottom/>
      <diagonal/>
    </border>
    <border>
      <left/>
      <right/>
      <top style="double">
        <color indexed="64"/>
      </top>
      <bottom/>
      <diagonal/>
    </border>
    <border>
      <left style="medium">
        <color indexed="64"/>
      </left>
      <right/>
      <top style="double">
        <color indexed="64"/>
      </top>
      <bottom/>
      <diagonal/>
    </border>
    <border>
      <left style="thin">
        <color indexed="64"/>
      </left>
      <right/>
      <top/>
      <bottom style="double">
        <color indexed="64"/>
      </bottom>
      <diagonal/>
    </border>
    <border>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right/>
      <top style="medium">
        <color auto="1"/>
      </top>
      <bottom/>
      <diagonal/>
    </border>
    <border>
      <left style="medium">
        <color auto="1"/>
      </left>
      <right/>
      <top/>
      <bottom/>
      <diagonal/>
    </border>
    <border>
      <left style="medium">
        <color auto="1"/>
      </left>
      <right style="thin">
        <color auto="1"/>
      </right>
      <top style="medium">
        <color auto="1"/>
      </top>
      <bottom/>
      <diagonal/>
    </border>
    <border>
      <left style="thin">
        <color indexed="64"/>
      </left>
      <right style="thin">
        <color indexed="64"/>
      </right>
      <top style="medium">
        <color indexed="64"/>
      </top>
      <bottom/>
      <diagonal/>
    </border>
    <border>
      <left style="medium">
        <color auto="1"/>
      </left>
      <right style="thin">
        <color auto="1"/>
      </right>
      <top/>
      <bottom style="medium">
        <color auto="1"/>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thin">
        <color auto="1"/>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style="medium">
        <color indexed="64"/>
      </left>
      <right/>
      <top style="medium">
        <color indexed="64"/>
      </top>
      <bottom/>
      <diagonal/>
    </border>
    <border>
      <left style="thin">
        <color auto="1"/>
      </left>
      <right style="medium">
        <color indexed="64"/>
      </right>
      <top style="thin">
        <color auto="1"/>
      </top>
      <bottom style="thin">
        <color auto="1"/>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style="thin">
        <color auto="1"/>
      </left>
      <right style="thin">
        <color auto="1"/>
      </right>
      <top style="thin">
        <color auto="1"/>
      </top>
      <bottom/>
      <diagonal/>
    </border>
    <border>
      <left/>
      <right style="thin">
        <color indexed="64"/>
      </right>
      <top style="medium">
        <color indexed="64"/>
      </top>
      <bottom/>
      <diagonal/>
    </border>
    <border>
      <left style="thin">
        <color indexed="64"/>
      </left>
      <right/>
      <top style="medium">
        <color indexed="64"/>
      </top>
      <bottom/>
      <diagonal/>
    </border>
    <border>
      <left/>
      <right/>
      <top/>
      <bottom style="thin">
        <color auto="1"/>
      </bottom>
      <diagonal/>
    </border>
    <border>
      <left/>
      <right style="thin">
        <color indexed="64"/>
      </right>
      <top/>
      <bottom style="thin">
        <color auto="1"/>
      </bottom>
      <diagonal/>
    </border>
    <border>
      <left style="thin">
        <color auto="1"/>
      </left>
      <right style="thin">
        <color auto="1"/>
      </right>
      <top/>
      <bottom style="thin">
        <color auto="1"/>
      </bottom>
      <diagonal/>
    </border>
    <border>
      <left style="medium">
        <color auto="1"/>
      </left>
      <right style="thin">
        <color auto="1"/>
      </right>
      <top/>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bottom style="thin">
        <color indexed="64"/>
      </bottom>
      <diagonal/>
    </border>
    <border>
      <left style="thin">
        <color indexed="64"/>
      </left>
      <right style="medium">
        <color indexed="64"/>
      </right>
      <top style="medium">
        <color indexed="64"/>
      </top>
      <bottom/>
      <diagonal/>
    </border>
    <border>
      <left style="medium">
        <color auto="1"/>
      </left>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61">
    <xf numFmtId="0" fontId="0" fillId="0" borderId="0"/>
    <xf numFmtId="0" fontId="8" fillId="0" borderId="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43" fontId="13" fillId="0" borderId="0" applyFont="0" applyFill="0" applyBorder="0" applyAlignment="0" applyProtection="0"/>
    <xf numFmtId="168" fontId="14" fillId="0" borderId="0">
      <protection locked="0"/>
    </xf>
    <xf numFmtId="0" fontId="15" fillId="0" borderId="0"/>
    <xf numFmtId="169" fontId="14" fillId="0" borderId="0">
      <protection locked="0"/>
    </xf>
    <xf numFmtId="0" fontId="16" fillId="0" borderId="0"/>
    <xf numFmtId="170" fontId="17" fillId="0" borderId="0">
      <protection locked="0"/>
    </xf>
    <xf numFmtId="170" fontId="17" fillId="0" borderId="0">
      <protection locked="0"/>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5" fillId="0" borderId="0"/>
    <xf numFmtId="0" fontId="13" fillId="0" borderId="0" applyNumberFormat="0"/>
    <xf numFmtId="9" fontId="13" fillId="0" borderId="0" applyFont="0" applyFill="0" applyBorder="0" applyAlignment="0" applyProtection="0"/>
    <xf numFmtId="1" fontId="18" fillId="3" borderId="0"/>
    <xf numFmtId="0" fontId="13" fillId="0" borderId="0" applyNumberFormat="0"/>
    <xf numFmtId="0" fontId="28" fillId="0" borderId="0" applyNumberFormat="0" applyFill="0" applyBorder="0" applyAlignment="0" applyProtection="0">
      <alignment vertical="top"/>
      <protection locked="0"/>
    </xf>
    <xf numFmtId="0" fontId="29" fillId="0" borderId="0" applyNumberFormat="0" applyFill="0" applyBorder="0" applyAlignment="0" applyProtection="0">
      <alignment vertical="top"/>
      <protection locked="0"/>
    </xf>
    <xf numFmtId="0" fontId="29"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1" fillId="0" borderId="0" applyNumberFormat="0" applyFill="0" applyBorder="0" applyAlignment="0" applyProtection="0">
      <alignment vertical="top"/>
      <protection locked="0"/>
    </xf>
    <xf numFmtId="175" fontId="32" fillId="0" borderId="0" applyFont="0" applyFill="0" applyBorder="0" applyAlignment="0" applyProtection="0"/>
    <xf numFmtId="176" fontId="33" fillId="0" borderId="0">
      <protection locked="0"/>
    </xf>
    <xf numFmtId="177" fontId="13" fillId="0" borderId="0" applyFont="0" applyFill="0" applyBorder="0" applyAlignment="0" applyProtection="0"/>
    <xf numFmtId="164" fontId="13" fillId="0" borderId="0" applyFont="0" applyFill="0" applyBorder="0" applyAlignment="0" applyProtection="0"/>
    <xf numFmtId="178" fontId="33" fillId="0" borderId="0">
      <protection locked="0"/>
    </xf>
    <xf numFmtId="179" fontId="32" fillId="0" borderId="0" applyFont="0" applyFill="0" applyBorder="0" applyAlignment="0" applyProtection="0"/>
    <xf numFmtId="0" fontId="34" fillId="0" borderId="92" applyNumberFormat="0" applyFill="0" applyBorder="0" applyAlignment="0">
      <alignment horizontal="center"/>
    </xf>
    <xf numFmtId="0" fontId="30" fillId="0" borderId="0" applyNumberFormat="0" applyFill="0" applyBorder="0" applyAlignment="0" applyProtection="0">
      <alignment vertical="top"/>
      <protection locked="0"/>
    </xf>
    <xf numFmtId="0" fontId="35" fillId="0" borderId="0"/>
    <xf numFmtId="41" fontId="35" fillId="0" borderId="0" applyFont="0" applyFill="0" applyBorder="0" applyAlignment="0" applyProtection="0"/>
    <xf numFmtId="43" fontId="35" fillId="0" borderId="0" applyFont="0" applyFill="0" applyBorder="0" applyAlignment="0" applyProtection="0"/>
    <xf numFmtId="0" fontId="36" fillId="0" borderId="0"/>
    <xf numFmtId="0" fontId="13" fillId="0" borderId="0"/>
    <xf numFmtId="0" fontId="2" fillId="0" borderId="0"/>
    <xf numFmtId="0" fontId="37" fillId="0" borderId="0"/>
    <xf numFmtId="0" fontId="2" fillId="0" borderId="0"/>
    <xf numFmtId="0" fontId="2" fillId="0" borderId="0"/>
    <xf numFmtId="0" fontId="35" fillId="0" borderId="0"/>
    <xf numFmtId="0" fontId="13" fillId="0" borderId="0"/>
    <xf numFmtId="0" fontId="38" fillId="0" borderId="0"/>
    <xf numFmtId="41" fontId="35" fillId="0" borderId="0" applyFont="0" applyFill="0" applyBorder="0" applyAlignment="0" applyProtection="0"/>
    <xf numFmtId="43" fontId="35" fillId="0" borderId="0" applyFont="0" applyFill="0" applyBorder="0" applyAlignment="0" applyProtection="0"/>
    <xf numFmtId="9" fontId="2" fillId="0" borderId="0" applyFont="0" applyFill="0" applyBorder="0" applyAlignment="0" applyProtection="0"/>
    <xf numFmtId="0" fontId="39" fillId="0" borderId="0" applyNumberFormat="0" applyFont="0" applyFill="0" applyBorder="0" applyAlignment="0">
      <protection hidden="1"/>
    </xf>
    <xf numFmtId="0" fontId="40" fillId="0" borderId="0"/>
    <xf numFmtId="180" fontId="35" fillId="0" borderId="0" applyFont="0" applyFill="0" applyBorder="0" applyAlignment="0" applyProtection="0"/>
    <xf numFmtId="181" fontId="41" fillId="0" borderId="0" applyFont="0" applyFill="0" applyBorder="0" applyAlignment="0" applyProtection="0"/>
    <xf numFmtId="0" fontId="42" fillId="0" borderId="40" applyBorder="0">
      <alignment horizontal="center"/>
    </xf>
    <xf numFmtId="0" fontId="43" fillId="7" borderId="0" applyNumberFormat="0" applyBorder="0" applyAlignment="0">
      <protection locked="0"/>
    </xf>
    <xf numFmtId="0" fontId="13" fillId="7" borderId="0" applyNumberFormat="0" applyBorder="0" applyAlignment="0">
      <protection locked="0"/>
    </xf>
    <xf numFmtId="0" fontId="13" fillId="0" borderId="0"/>
    <xf numFmtId="0" fontId="13" fillId="7" borderId="0" applyNumberFormat="0" applyBorder="0" applyAlignment="0">
      <protection locked="0"/>
    </xf>
    <xf numFmtId="0" fontId="32" fillId="0" borderId="0"/>
    <xf numFmtId="0" fontId="32" fillId="0" borderId="0"/>
    <xf numFmtId="0" fontId="44" fillId="0" borderId="0"/>
    <xf numFmtId="0" fontId="2" fillId="0" borderId="0"/>
    <xf numFmtId="0" fontId="2" fillId="0" borderId="0"/>
    <xf numFmtId="0" fontId="45" fillId="0" borderId="0"/>
    <xf numFmtId="0" fontId="1" fillId="0" borderId="0"/>
  </cellStyleXfs>
  <cellXfs count="1134">
    <xf numFmtId="0" fontId="0" fillId="0" borderId="0" xfId="0"/>
    <xf numFmtId="0" fontId="3" fillId="0" borderId="0" xfId="0" applyFont="1"/>
    <xf numFmtId="0" fontId="4" fillId="0" borderId="1" xfId="0" applyFont="1" applyBorder="1" applyAlignment="1">
      <alignment horizontal="center" wrapText="1"/>
    </xf>
    <xf numFmtId="0" fontId="5" fillId="0" borderId="2" xfId="0" applyFont="1" applyBorder="1" applyAlignment="1">
      <alignment horizontal="center"/>
    </xf>
    <xf numFmtId="0" fontId="3" fillId="0" borderId="3" xfId="0" applyFont="1" applyBorder="1"/>
    <xf numFmtId="0" fontId="7" fillId="0" borderId="4" xfId="0" applyFont="1" applyBorder="1"/>
    <xf numFmtId="49" fontId="9" fillId="0" borderId="6" xfId="1" applyNumberFormat="1" applyFont="1" applyBorder="1" applyAlignment="1" applyProtection="1">
      <alignment horizontal="center" vertical="center"/>
      <protection hidden="1"/>
    </xf>
    <xf numFmtId="49" fontId="9" fillId="0" borderId="7" xfId="1" applyNumberFormat="1" applyFont="1" applyBorder="1" applyAlignment="1" applyProtection="1">
      <alignment horizontal="center" vertical="center"/>
      <protection hidden="1"/>
    </xf>
    <xf numFmtId="49" fontId="9" fillId="0" borderId="0" xfId="1" applyNumberFormat="1" applyFont="1" applyAlignment="1" applyProtection="1">
      <alignment horizontal="center" vertical="center"/>
      <protection hidden="1"/>
    </xf>
    <xf numFmtId="0" fontId="9" fillId="0" borderId="0" xfId="1" applyFont="1" applyAlignment="1" applyProtection="1">
      <alignment horizontal="center" vertical="center"/>
      <protection hidden="1"/>
    </xf>
    <xf numFmtId="0" fontId="3" fillId="0" borderId="8" xfId="0" applyFont="1" applyBorder="1"/>
    <xf numFmtId="0" fontId="3" fillId="0" borderId="1" xfId="0" applyFont="1" applyBorder="1"/>
    <xf numFmtId="0" fontId="7" fillId="0" borderId="9" xfId="0" applyFont="1" applyBorder="1"/>
    <xf numFmtId="15" fontId="9" fillId="0" borderId="11" xfId="1" applyNumberFormat="1" applyFont="1" applyBorder="1" applyAlignment="1" applyProtection="1">
      <alignment horizontal="center" vertical="center"/>
      <protection hidden="1"/>
    </xf>
    <xf numFmtId="0" fontId="9" fillId="0" borderId="12" xfId="1" applyFont="1" applyBorder="1" applyAlignment="1" applyProtection="1">
      <alignment horizontal="center" vertical="center"/>
      <protection hidden="1"/>
    </xf>
    <xf numFmtId="0" fontId="3" fillId="0" borderId="13" xfId="0" applyFont="1" applyBorder="1" applyProtection="1">
      <protection locked="0"/>
    </xf>
    <xf numFmtId="0" fontId="3" fillId="0" borderId="0" xfId="0" applyFont="1" applyProtection="1">
      <protection locked="0"/>
    </xf>
    <xf numFmtId="0" fontId="3" fillId="0" borderId="0" xfId="0" applyFont="1" applyAlignment="1" applyProtection="1">
      <alignment horizontal="center"/>
      <protection locked="0"/>
    </xf>
    <xf numFmtId="0" fontId="7" fillId="0" borderId="0" xfId="0" applyFont="1" applyProtection="1">
      <protection locked="0"/>
    </xf>
    <xf numFmtId="0" fontId="9" fillId="0" borderId="0" xfId="1" applyFont="1" applyAlignment="1" applyProtection="1">
      <alignment horizontal="center" vertical="center"/>
      <protection locked="0" hidden="1"/>
    </xf>
    <xf numFmtId="15" fontId="9" fillId="0" borderId="0" xfId="1" applyNumberFormat="1" applyFont="1" applyAlignment="1" applyProtection="1">
      <alignment horizontal="center" vertical="center"/>
      <protection locked="0" hidden="1"/>
    </xf>
    <xf numFmtId="0" fontId="9" fillId="0" borderId="14" xfId="1" applyFont="1" applyBorder="1" applyAlignment="1" applyProtection="1">
      <alignment horizontal="center" vertical="center"/>
      <protection locked="0" hidden="1"/>
    </xf>
    <xf numFmtId="0" fontId="10" fillId="0" borderId="13" xfId="0" applyFont="1" applyBorder="1" applyProtection="1">
      <protection locked="0"/>
    </xf>
    <xf numFmtId="0" fontId="10" fillId="2" borderId="0" xfId="0" applyFont="1" applyFill="1" applyProtection="1">
      <protection locked="0"/>
    </xf>
    <xf numFmtId="0" fontId="3" fillId="0" borderId="14" xfId="0" applyFont="1" applyBorder="1" applyProtection="1">
      <protection locked="0"/>
    </xf>
    <xf numFmtId="0" fontId="3" fillId="2" borderId="0" xfId="0" applyFont="1" applyFill="1" applyProtection="1">
      <protection locked="0"/>
    </xf>
    <xf numFmtId="0" fontId="9" fillId="2" borderId="0" xfId="0" applyFont="1" applyFill="1" applyProtection="1">
      <protection locked="0"/>
    </xf>
    <xf numFmtId="0" fontId="9" fillId="2" borderId="0" xfId="0" applyFont="1" applyFill="1" applyAlignment="1" applyProtection="1">
      <alignment horizontal="left"/>
      <protection locked="0"/>
    </xf>
    <xf numFmtId="0" fontId="10" fillId="2" borderId="15" xfId="0" applyFont="1" applyFill="1" applyBorder="1" applyProtection="1">
      <protection locked="0"/>
    </xf>
    <xf numFmtId="0" fontId="11" fillId="2" borderId="0" xfId="0" applyFont="1" applyFill="1" applyProtection="1">
      <protection locked="0"/>
    </xf>
    <xf numFmtId="0" fontId="10" fillId="2" borderId="0" xfId="0" applyFont="1" applyFill="1" applyAlignment="1" applyProtection="1">
      <alignment horizontal="left" vertical="top"/>
      <protection locked="0"/>
    </xf>
    <xf numFmtId="0" fontId="10" fillId="2" borderId="0" xfId="0" applyFont="1" applyFill="1" applyAlignment="1" applyProtection="1">
      <alignment vertical="top"/>
      <protection locked="0"/>
    </xf>
    <xf numFmtId="0" fontId="9" fillId="2" borderId="0" xfId="0" applyFont="1" applyFill="1" applyAlignment="1" applyProtection="1">
      <alignment horizontal="right"/>
      <protection locked="0"/>
    </xf>
    <xf numFmtId="0" fontId="9" fillId="2" borderId="15" xfId="0" applyFont="1" applyFill="1" applyBorder="1" applyAlignment="1" applyProtection="1">
      <alignment horizontal="right"/>
      <protection locked="0"/>
    </xf>
    <xf numFmtId="0" fontId="9" fillId="2" borderId="16" xfId="0" applyFont="1" applyFill="1" applyBorder="1" applyAlignment="1" applyProtection="1">
      <alignment horizontal="right"/>
      <protection locked="0"/>
    </xf>
    <xf numFmtId="0" fontId="3" fillId="0" borderId="17" xfId="0" applyFont="1" applyBorder="1" applyProtection="1">
      <protection locked="0"/>
    </xf>
    <xf numFmtId="0" fontId="3" fillId="0" borderId="8" xfId="0" applyFont="1" applyBorder="1" applyProtection="1">
      <protection locked="0"/>
    </xf>
    <xf numFmtId="0" fontId="10" fillId="2" borderId="1" xfId="0" applyFont="1" applyFill="1" applyBorder="1" applyAlignment="1" applyProtection="1">
      <alignment horizontal="left" vertical="top"/>
      <protection locked="0"/>
    </xf>
    <xf numFmtId="0" fontId="3" fillId="0" borderId="18" xfId="0" applyFont="1" applyBorder="1" applyProtection="1">
      <protection locked="0"/>
    </xf>
    <xf numFmtId="0" fontId="10" fillId="2" borderId="0" xfId="0" applyFont="1" applyFill="1" applyAlignment="1">
      <alignment horizontal="left" vertical="top"/>
    </xf>
    <xf numFmtId="0" fontId="3" fillId="0" borderId="0" xfId="213" applyFont="1" applyProtection="1">
      <protection hidden="1"/>
    </xf>
    <xf numFmtId="0" fontId="3" fillId="0" borderId="2" xfId="213" applyFont="1" applyBorder="1" applyProtection="1">
      <protection hidden="1"/>
    </xf>
    <xf numFmtId="0" fontId="3" fillId="0" borderId="3" xfId="213" applyFont="1" applyBorder="1" applyProtection="1">
      <protection hidden="1"/>
    </xf>
    <xf numFmtId="0" fontId="3" fillId="4" borderId="5" xfId="0" applyFont="1" applyFill="1" applyBorder="1" applyAlignment="1">
      <alignment horizontal="center" vertical="center"/>
    </xf>
    <xf numFmtId="0" fontId="3" fillId="4" borderId="19" xfId="0" applyFont="1" applyFill="1" applyBorder="1" applyAlignment="1">
      <alignment horizontal="center" vertical="center"/>
    </xf>
    <xf numFmtId="0" fontId="3" fillId="0" borderId="20" xfId="213" applyFont="1" applyBorder="1" applyProtection="1">
      <protection hidden="1"/>
    </xf>
    <xf numFmtId="0" fontId="3" fillId="0" borderId="8" xfId="213" applyFont="1" applyBorder="1" applyProtection="1">
      <protection hidden="1"/>
    </xf>
    <xf numFmtId="0" fontId="3" fillId="0" borderId="1" xfId="213" applyFont="1" applyBorder="1" applyProtection="1">
      <protection hidden="1"/>
    </xf>
    <xf numFmtId="0" fontId="3" fillId="4" borderId="11" xfId="0" applyFont="1" applyFill="1" applyBorder="1" applyAlignment="1">
      <alignment horizontal="center" vertical="center"/>
    </xf>
    <xf numFmtId="171" fontId="3" fillId="4" borderId="11" xfId="0" applyNumberFormat="1" applyFont="1" applyFill="1" applyBorder="1" applyAlignment="1">
      <alignment horizontal="center" vertical="center"/>
    </xf>
    <xf numFmtId="0" fontId="3" fillId="0" borderId="12" xfId="213" applyFont="1" applyBorder="1" applyProtection="1">
      <protection hidden="1"/>
    </xf>
    <xf numFmtId="0" fontId="3" fillId="0" borderId="13" xfId="213" applyFont="1" applyBorder="1" applyProtection="1">
      <protection locked="0" hidden="1"/>
    </xf>
    <xf numFmtId="0" fontId="3" fillId="0" borderId="0" xfId="213" applyFont="1" applyProtection="1">
      <protection locked="0" hidden="1"/>
    </xf>
    <xf numFmtId="0" fontId="19" fillId="0" borderId="0" xfId="213" applyFont="1" applyAlignment="1" applyProtection="1">
      <alignment horizontal="center"/>
      <protection locked="0" hidden="1"/>
    </xf>
    <xf numFmtId="0" fontId="3" fillId="0" borderId="14" xfId="213" applyFont="1" applyBorder="1" applyProtection="1">
      <protection locked="0" hidden="1"/>
    </xf>
    <xf numFmtId="0" fontId="6" fillId="0" borderId="0" xfId="213" applyFont="1" applyProtection="1">
      <protection locked="0" hidden="1"/>
    </xf>
    <xf numFmtId="0" fontId="6" fillId="0" borderId="0" xfId="213" applyFont="1" applyProtection="1">
      <protection hidden="1"/>
    </xf>
    <xf numFmtId="0" fontId="3" fillId="0" borderId="35" xfId="213" applyFont="1" applyBorder="1" applyProtection="1">
      <protection locked="0" hidden="1"/>
    </xf>
    <xf numFmtId="0" fontId="6" fillId="0" borderId="13" xfId="213" applyFont="1" applyBorder="1" applyProtection="1">
      <protection locked="0" hidden="1"/>
    </xf>
    <xf numFmtId="0" fontId="6" fillId="0" borderId="42" xfId="213" applyFont="1" applyBorder="1" applyProtection="1">
      <protection locked="0" hidden="1"/>
    </xf>
    <xf numFmtId="0" fontId="3" fillId="0" borderId="30" xfId="213" applyFont="1" applyBorder="1" applyProtection="1">
      <protection locked="0" hidden="1"/>
    </xf>
    <xf numFmtId="0" fontId="3" fillId="0" borderId="8" xfId="213" applyFont="1" applyBorder="1" applyProtection="1">
      <protection locked="0" hidden="1"/>
    </xf>
    <xf numFmtId="0" fontId="3" fillId="0" borderId="1" xfId="213" applyFont="1" applyBorder="1" applyProtection="1">
      <protection locked="0" hidden="1"/>
    </xf>
    <xf numFmtId="0" fontId="3" fillId="0" borderId="18" xfId="213" applyFont="1" applyBorder="1" applyProtection="1">
      <protection locked="0" hidden="1"/>
    </xf>
    <xf numFmtId="0" fontId="0" fillId="0" borderId="0" xfId="0" applyAlignment="1">
      <alignment horizontal="center" vertical="center"/>
    </xf>
    <xf numFmtId="0" fontId="3" fillId="0" borderId="0" xfId="105" applyFont="1"/>
    <xf numFmtId="0" fontId="3" fillId="0" borderId="0" xfId="105" applyFont="1" applyAlignment="1" applyProtection="1">
      <alignment vertical="center"/>
      <protection locked="0" hidden="1"/>
    </xf>
    <xf numFmtId="0" fontId="3" fillId="0" borderId="14" xfId="105" applyFont="1" applyBorder="1" applyProtection="1">
      <protection locked="0"/>
    </xf>
    <xf numFmtId="0" fontId="3" fillId="0" borderId="13" xfId="105" applyFont="1" applyBorder="1" applyAlignment="1" applyProtection="1">
      <alignment vertical="center"/>
      <protection locked="0" hidden="1"/>
    </xf>
    <xf numFmtId="0" fontId="3" fillId="0" borderId="0" xfId="105" applyFont="1" applyProtection="1">
      <protection locked="0"/>
    </xf>
    <xf numFmtId="0" fontId="3" fillId="0" borderId="8" xfId="105" applyFont="1" applyBorder="1" applyProtection="1">
      <protection locked="0"/>
    </xf>
    <xf numFmtId="0" fontId="3" fillId="0" borderId="1" xfId="105" applyFont="1" applyBorder="1" applyProtection="1">
      <protection locked="0"/>
    </xf>
    <xf numFmtId="0" fontId="3" fillId="0" borderId="18" xfId="105" applyFont="1" applyBorder="1" applyProtection="1">
      <protection locked="0"/>
    </xf>
    <xf numFmtId="0" fontId="13" fillId="0" borderId="39" xfId="0" applyFont="1" applyBorder="1" applyAlignment="1">
      <alignment horizontal="center" vertical="center"/>
    </xf>
    <xf numFmtId="0" fontId="3" fillId="0" borderId="0" xfId="105" applyFont="1" applyProtection="1">
      <protection hidden="1"/>
    </xf>
    <xf numFmtId="0" fontId="3" fillId="0" borderId="3" xfId="105" applyFont="1" applyBorder="1" applyProtection="1">
      <protection hidden="1"/>
    </xf>
    <xf numFmtId="0" fontId="10" fillId="0" borderId="3" xfId="1" applyFont="1" applyBorder="1" applyAlignment="1" applyProtection="1">
      <alignment horizontal="center" vertical="center"/>
      <protection hidden="1"/>
    </xf>
    <xf numFmtId="0" fontId="10" fillId="0" borderId="1" xfId="1" applyFont="1" applyBorder="1" applyAlignment="1" applyProtection="1">
      <alignment horizontal="center" vertical="center"/>
      <protection hidden="1"/>
    </xf>
    <xf numFmtId="0" fontId="3" fillId="0" borderId="13" xfId="105" applyFont="1" applyBorder="1" applyProtection="1">
      <protection locked="0" hidden="1"/>
    </xf>
    <xf numFmtId="0" fontId="3" fillId="0" borderId="0" xfId="105" applyFont="1" applyProtection="1">
      <protection locked="0" hidden="1"/>
    </xf>
    <xf numFmtId="0" fontId="3" fillId="0" borderId="14" xfId="105" applyFont="1" applyBorder="1" applyProtection="1">
      <protection locked="0" hidden="1"/>
    </xf>
    <xf numFmtId="0" fontId="9" fillId="0" borderId="0" xfId="105" applyFont="1" applyAlignment="1" applyProtection="1">
      <alignment horizontal="right" vertical="center"/>
      <protection locked="0" hidden="1"/>
    </xf>
    <xf numFmtId="0" fontId="9" fillId="0" borderId="0" xfId="105" applyFont="1" applyAlignment="1" applyProtection="1">
      <alignment vertical="center"/>
      <protection locked="0" hidden="1"/>
    </xf>
    <xf numFmtId="0" fontId="9" fillId="0" borderId="0" xfId="105" applyFont="1" applyAlignment="1" applyProtection="1">
      <alignment vertical="center" wrapText="1"/>
      <protection locked="0" hidden="1"/>
    </xf>
    <xf numFmtId="0" fontId="9" fillId="0" borderId="0" xfId="105" applyFont="1" applyAlignment="1" applyProtection="1">
      <alignment horizontal="center" vertical="center"/>
      <protection locked="0"/>
    </xf>
    <xf numFmtId="0" fontId="3" fillId="0" borderId="0" xfId="105" applyFont="1" applyAlignment="1" applyProtection="1">
      <alignment horizontal="center"/>
      <protection locked="0"/>
    </xf>
    <xf numFmtId="0" fontId="9" fillId="0" borderId="13" xfId="105" applyFont="1" applyBorder="1" applyAlignment="1" applyProtection="1">
      <alignment horizontal="center" vertical="center"/>
      <protection locked="0" hidden="1"/>
    </xf>
    <xf numFmtId="0" fontId="3" fillId="5" borderId="39" xfId="105" applyFont="1" applyFill="1" applyBorder="1" applyAlignment="1" applyProtection="1">
      <alignment horizontal="center"/>
      <protection locked="0"/>
    </xf>
    <xf numFmtId="0" fontId="3" fillId="0" borderId="39" xfId="105" applyFont="1" applyBorder="1" applyAlignment="1" applyProtection="1">
      <alignment horizontal="center"/>
      <protection locked="0"/>
    </xf>
    <xf numFmtId="0" fontId="3" fillId="0" borderId="8" xfId="105" applyFont="1" applyBorder="1" applyProtection="1">
      <protection locked="0" hidden="1"/>
    </xf>
    <xf numFmtId="0" fontId="3" fillId="0" borderId="1" xfId="105" applyFont="1" applyBorder="1" applyProtection="1">
      <protection locked="0" hidden="1"/>
    </xf>
    <xf numFmtId="0" fontId="3" fillId="0" borderId="18" xfId="105" applyFont="1" applyBorder="1" applyProtection="1">
      <protection locked="0" hidden="1"/>
    </xf>
    <xf numFmtId="0" fontId="13" fillId="0" borderId="0" xfId="105"/>
    <xf numFmtId="0" fontId="3" fillId="4" borderId="85" xfId="105" applyFont="1" applyFill="1" applyBorder="1" applyAlignment="1">
      <alignment horizontal="center" vertical="center"/>
    </xf>
    <xf numFmtId="171" fontId="3" fillId="4" borderId="74" xfId="105" applyNumberFormat="1" applyFont="1" applyFill="1" applyBorder="1" applyAlignment="1">
      <alignment horizontal="center" vertical="center"/>
    </xf>
    <xf numFmtId="0" fontId="3" fillId="0" borderId="0" xfId="216" applyFont="1" applyAlignment="1" applyProtection="1">
      <alignment vertical="center"/>
      <protection locked="0"/>
    </xf>
    <xf numFmtId="0" fontId="3" fillId="5" borderId="16" xfId="216" applyFont="1" applyFill="1" applyBorder="1" applyAlignment="1" applyProtection="1">
      <alignment horizontal="centerContinuous" vertical="center"/>
      <protection locked="0" hidden="1"/>
    </xf>
    <xf numFmtId="0" fontId="3" fillId="5" borderId="25" xfId="105" applyFont="1" applyFill="1" applyBorder="1" applyAlignment="1" applyProtection="1">
      <alignment horizontal="centerContinuous" vertical="center"/>
      <protection locked="0" hidden="1"/>
    </xf>
    <xf numFmtId="0" fontId="3" fillId="6" borderId="78" xfId="105" applyFont="1" applyFill="1" applyBorder="1" applyProtection="1">
      <protection locked="0"/>
    </xf>
    <xf numFmtId="0" fontId="5" fillId="0" borderId="3" xfId="105" applyFont="1" applyBorder="1" applyAlignment="1">
      <alignment horizontal="center"/>
    </xf>
    <xf numFmtId="0" fontId="3" fillId="0" borderId="8" xfId="105" applyFont="1" applyBorder="1"/>
    <xf numFmtId="0" fontId="3" fillId="0" borderId="1" xfId="105" applyFont="1" applyBorder="1"/>
    <xf numFmtId="0" fontId="10" fillId="0" borderId="13" xfId="105" applyFont="1" applyBorder="1" applyProtection="1">
      <protection locked="0"/>
    </xf>
    <xf numFmtId="0" fontId="10" fillId="2" borderId="0" xfId="105" applyFont="1" applyFill="1" applyProtection="1">
      <protection locked="0"/>
    </xf>
    <xf numFmtId="0" fontId="3" fillId="0" borderId="13" xfId="105" applyFont="1" applyBorder="1" applyProtection="1">
      <protection locked="0"/>
    </xf>
    <xf numFmtId="0" fontId="3" fillId="2" borderId="0" xfId="105" applyFont="1" applyFill="1" applyProtection="1">
      <protection locked="0"/>
    </xf>
    <xf numFmtId="0" fontId="9" fillId="2" borderId="0" xfId="105" applyFont="1" applyFill="1" applyProtection="1">
      <protection locked="0"/>
    </xf>
    <xf numFmtId="0" fontId="3" fillId="2" borderId="15" xfId="105" applyFont="1" applyFill="1" applyBorder="1" applyProtection="1">
      <protection locked="0"/>
    </xf>
    <xf numFmtId="0" fontId="3" fillId="0" borderId="2" xfId="0" applyFont="1" applyBorder="1"/>
    <xf numFmtId="0" fontId="5" fillId="0" borderId="3" xfId="0" applyFont="1" applyBorder="1" applyAlignment="1">
      <alignment horizontal="center"/>
    </xf>
    <xf numFmtId="49" fontId="3" fillId="0" borderId="5" xfId="1" applyNumberFormat="1" applyFont="1" applyBorder="1" applyAlignment="1" applyProtection="1">
      <alignment horizontal="center" vertical="center"/>
      <protection hidden="1"/>
    </xf>
    <xf numFmtId="0" fontId="3" fillId="0" borderId="10" xfId="1" applyFont="1" applyBorder="1" applyAlignment="1" applyProtection="1">
      <alignment horizontal="center" vertical="center"/>
      <protection hidden="1"/>
    </xf>
    <xf numFmtId="0" fontId="6" fillId="0" borderId="0" xfId="0" applyFont="1" applyAlignment="1" applyProtection="1">
      <alignment horizontal="center" vertical="center"/>
      <protection locked="0"/>
    </xf>
    <xf numFmtId="0" fontId="3" fillId="0" borderId="0" xfId="1" applyFont="1" applyAlignment="1" applyProtection="1">
      <alignment horizontal="center" vertical="center"/>
      <protection locked="0" hidden="1"/>
    </xf>
    <xf numFmtId="171" fontId="3" fillId="0" borderId="0" xfId="0" applyNumberFormat="1" applyFont="1" applyAlignment="1" applyProtection="1">
      <alignment horizontal="center" vertical="center"/>
      <protection locked="0"/>
    </xf>
    <xf numFmtId="172" fontId="10" fillId="2" borderId="0" xfId="0" applyNumberFormat="1" applyFont="1" applyFill="1" applyAlignment="1" applyProtection="1">
      <alignment horizontal="left"/>
      <protection locked="0"/>
    </xf>
    <xf numFmtId="0" fontId="6" fillId="2" borderId="39" xfId="0" applyFont="1" applyFill="1" applyBorder="1" applyAlignment="1" applyProtection="1">
      <alignment horizontal="center"/>
      <protection locked="0"/>
    </xf>
    <xf numFmtId="0" fontId="6" fillId="2" borderId="0" xfId="0" applyFont="1" applyFill="1" applyAlignment="1" applyProtection="1">
      <alignment horizontal="center"/>
      <protection locked="0"/>
    </xf>
    <xf numFmtId="0" fontId="3" fillId="2" borderId="0" xfId="0" applyFont="1" applyFill="1" applyAlignment="1" applyProtection="1">
      <alignment horizontal="left"/>
      <protection locked="0"/>
    </xf>
    <xf numFmtId="0" fontId="3" fillId="2" borderId="0" xfId="0" applyFont="1" applyFill="1" applyAlignment="1" applyProtection="1">
      <alignment horizontal="right"/>
      <protection locked="0"/>
    </xf>
    <xf numFmtId="0" fontId="0" fillId="0" borderId="0" xfId="0" applyProtection="1">
      <protection locked="0"/>
    </xf>
    <xf numFmtId="0" fontId="6" fillId="2" borderId="0" xfId="0" applyFont="1" applyFill="1" applyProtection="1">
      <protection locked="0"/>
    </xf>
    <xf numFmtId="0" fontId="3" fillId="2" borderId="0" xfId="0" applyFont="1" applyFill="1" applyAlignment="1" applyProtection="1">
      <alignment horizontal="center"/>
      <protection locked="0"/>
    </xf>
    <xf numFmtId="0" fontId="6" fillId="2" borderId="17" xfId="0" applyFont="1" applyFill="1" applyBorder="1" applyAlignment="1" applyProtection="1">
      <alignment horizontal="center"/>
      <protection locked="0"/>
    </xf>
    <xf numFmtId="0" fontId="6" fillId="2" borderId="16" xfId="0" applyFont="1" applyFill="1" applyBorder="1" applyAlignment="1" applyProtection="1">
      <alignment horizontal="center"/>
      <protection locked="0"/>
    </xf>
    <xf numFmtId="0" fontId="27" fillId="2" borderId="0" xfId="0" applyFont="1" applyFill="1" applyProtection="1">
      <protection locked="0"/>
    </xf>
    <xf numFmtId="0" fontId="3" fillId="0" borderId="1" xfId="0" applyFont="1" applyBorder="1" applyProtection="1">
      <protection locked="0"/>
    </xf>
    <xf numFmtId="0" fontId="3" fillId="0" borderId="2" xfId="105" applyFont="1" applyBorder="1"/>
    <xf numFmtId="0" fontId="3" fillId="0" borderId="3" xfId="105" applyFont="1" applyBorder="1"/>
    <xf numFmtId="0" fontId="3" fillId="0" borderId="7" xfId="105" applyFont="1" applyBorder="1"/>
    <xf numFmtId="0" fontId="3" fillId="0" borderId="18" xfId="105" applyFont="1" applyBorder="1"/>
    <xf numFmtId="0" fontId="6" fillId="0" borderId="0" xfId="105" applyFont="1" applyAlignment="1" applyProtection="1">
      <alignment horizontal="center" vertical="center"/>
      <protection locked="0"/>
    </xf>
    <xf numFmtId="171" fontId="3" fillId="0" borderId="0" xfId="105" applyNumberFormat="1" applyFont="1" applyAlignment="1" applyProtection="1">
      <alignment horizontal="center" vertical="center"/>
      <protection locked="0"/>
    </xf>
    <xf numFmtId="0" fontId="6" fillId="2" borderId="0" xfId="105" applyFont="1" applyFill="1" applyAlignment="1" applyProtection="1">
      <alignment horizontal="center"/>
      <protection locked="0"/>
    </xf>
    <xf numFmtId="0" fontId="21" fillId="2" borderId="0" xfId="105" applyFont="1" applyFill="1" applyProtection="1">
      <protection locked="0"/>
    </xf>
    <xf numFmtId="0" fontId="21" fillId="2" borderId="0" xfId="105" applyFont="1" applyFill="1" applyAlignment="1" applyProtection="1">
      <alignment horizontal="center"/>
      <protection locked="0"/>
    </xf>
    <xf numFmtId="0" fontId="3" fillId="2" borderId="0" xfId="105" applyFont="1" applyFill="1" applyAlignment="1" applyProtection="1">
      <alignment horizontal="center"/>
      <protection locked="0"/>
    </xf>
    <xf numFmtId="0" fontId="6" fillId="2" borderId="0" xfId="105" applyFont="1" applyFill="1" applyProtection="1">
      <protection locked="0"/>
    </xf>
    <xf numFmtId="0" fontId="6" fillId="2" borderId="0" xfId="105" applyFont="1" applyFill="1" applyAlignment="1" applyProtection="1">
      <alignment horizontal="left"/>
      <protection locked="0"/>
    </xf>
    <xf numFmtId="0" fontId="27" fillId="2" borderId="0" xfId="105" applyFont="1" applyFill="1" applyProtection="1">
      <protection locked="0"/>
    </xf>
    <xf numFmtId="0" fontId="3" fillId="0" borderId="13" xfId="213" applyFont="1" applyBorder="1" applyAlignment="1" applyProtection="1">
      <alignment vertical="center"/>
      <protection locked="0" hidden="1"/>
    </xf>
    <xf numFmtId="0" fontId="20" fillId="0" borderId="0" xfId="213" applyFont="1" applyProtection="1">
      <protection locked="0"/>
    </xf>
    <xf numFmtId="0" fontId="3" fillId="0" borderId="67" xfId="213" applyFont="1" applyBorder="1" applyProtection="1">
      <protection locked="0" hidden="1"/>
    </xf>
    <xf numFmtId="0" fontId="3" fillId="0" borderId="32" xfId="213" applyFont="1" applyBorder="1" applyAlignment="1" applyProtection="1">
      <alignment vertical="center"/>
      <protection locked="0" hidden="1"/>
    </xf>
    <xf numFmtId="0" fontId="3" fillId="0" borderId="35" xfId="213" applyFont="1" applyBorder="1" applyAlignment="1" applyProtection="1">
      <alignment vertical="center"/>
      <protection locked="0" hidden="1"/>
    </xf>
    <xf numFmtId="0" fontId="3" fillId="0" borderId="36" xfId="213" applyFont="1" applyBorder="1" applyAlignment="1" applyProtection="1">
      <alignment vertical="center"/>
      <protection locked="0" hidden="1"/>
    </xf>
    <xf numFmtId="0" fontId="3" fillId="0" borderId="0" xfId="213" applyFont="1" applyAlignment="1" applyProtection="1">
      <alignment vertical="center"/>
      <protection locked="0" hidden="1"/>
    </xf>
    <xf numFmtId="0" fontId="3" fillId="0" borderId="0" xfId="213" applyFont="1" applyAlignment="1" applyProtection="1">
      <alignment horizontal="center"/>
      <protection locked="0" hidden="1"/>
    </xf>
    <xf numFmtId="0" fontId="3" fillId="0" borderId="13" xfId="213" applyFont="1" applyBorder="1" applyAlignment="1" applyProtection="1">
      <alignment horizontal="center"/>
      <protection locked="0" hidden="1"/>
    </xf>
    <xf numFmtId="0" fontId="3" fillId="0" borderId="2" xfId="213" applyFont="1" applyBorder="1" applyProtection="1">
      <protection locked="0" hidden="1"/>
    </xf>
    <xf numFmtId="0" fontId="3" fillId="0" borderId="3" xfId="213" applyFont="1" applyBorder="1" applyProtection="1">
      <protection locked="0" hidden="1"/>
    </xf>
    <xf numFmtId="0" fontId="19" fillId="0" borderId="3" xfId="213" applyFont="1" applyBorder="1" applyAlignment="1" applyProtection="1">
      <alignment horizontal="center"/>
      <protection locked="0" hidden="1"/>
    </xf>
    <xf numFmtId="0" fontId="3" fillId="0" borderId="20" xfId="213" applyFont="1" applyBorder="1" applyProtection="1">
      <protection locked="0" hidden="1"/>
    </xf>
    <xf numFmtId="0" fontId="3" fillId="0" borderId="14" xfId="213" applyFont="1" applyBorder="1" applyAlignment="1" applyProtection="1">
      <alignment vertical="center"/>
      <protection locked="0" hidden="1"/>
    </xf>
    <xf numFmtId="0" fontId="3" fillId="0" borderId="13" xfId="213" applyFont="1" applyBorder="1" applyAlignment="1" applyProtection="1">
      <alignment horizontal="center" vertical="center"/>
      <protection locked="0" hidden="1"/>
    </xf>
    <xf numFmtId="0" fontId="20" fillId="0" borderId="30" xfId="213" applyFont="1" applyBorder="1" applyAlignment="1" applyProtection="1">
      <alignment horizontal="center" vertical="center"/>
      <protection locked="0"/>
    </xf>
    <xf numFmtId="0" fontId="3" fillId="0" borderId="14" xfId="213" applyFont="1" applyBorder="1" applyAlignment="1" applyProtection="1">
      <alignment horizontal="center"/>
      <protection locked="0" hidden="1"/>
    </xf>
    <xf numFmtId="0" fontId="20" fillId="0" borderId="29" xfId="213" applyFont="1" applyBorder="1" applyAlignment="1" applyProtection="1">
      <alignment horizontal="center" vertical="center"/>
      <protection locked="0"/>
    </xf>
    <xf numFmtId="0" fontId="3" fillId="0" borderId="56" xfId="213" applyFont="1" applyBorder="1" applyAlignment="1" applyProtection="1">
      <alignment horizontal="center" vertical="center"/>
      <protection locked="0" hidden="1"/>
    </xf>
    <xf numFmtId="0" fontId="3" fillId="0" borderId="50" xfId="213" applyFont="1" applyBorder="1" applyAlignment="1" applyProtection="1">
      <alignment horizontal="center" vertical="center"/>
      <protection locked="0" hidden="1"/>
    </xf>
    <xf numFmtId="0" fontId="3" fillId="0" borderId="51" xfId="213" applyFont="1" applyBorder="1" applyAlignment="1" applyProtection="1">
      <alignment horizontal="center" vertical="center"/>
      <protection locked="0" hidden="1"/>
    </xf>
    <xf numFmtId="0" fontId="3" fillId="0" borderId="52" xfId="213" applyFont="1" applyBorder="1" applyAlignment="1" applyProtection="1">
      <alignment horizontal="center" vertical="center"/>
      <protection locked="0" hidden="1"/>
    </xf>
    <xf numFmtId="0" fontId="20" fillId="0" borderId="31" xfId="213" applyFont="1" applyBorder="1" applyAlignment="1" applyProtection="1">
      <alignment horizontal="center" vertical="center"/>
      <protection locked="0"/>
    </xf>
    <xf numFmtId="0" fontId="6" fillId="0" borderId="13" xfId="213" applyFont="1" applyBorder="1" applyAlignment="1" applyProtection="1">
      <alignment horizontal="center" vertical="center"/>
      <protection locked="0" hidden="1"/>
    </xf>
    <xf numFmtId="0" fontId="3" fillId="0" borderId="60" xfId="213" applyFont="1" applyBorder="1" applyAlignment="1" applyProtection="1">
      <alignment horizontal="center" vertical="center"/>
      <protection locked="0" hidden="1"/>
    </xf>
    <xf numFmtId="0" fontId="3" fillId="0" borderId="53" xfId="213" applyFont="1" applyBorder="1" applyAlignment="1" applyProtection="1">
      <alignment vertical="center"/>
      <protection locked="0" hidden="1"/>
    </xf>
    <xf numFmtId="0" fontId="3" fillId="0" borderId="54" xfId="213" applyFont="1" applyBorder="1" applyAlignment="1" applyProtection="1">
      <alignment vertical="center"/>
      <protection locked="0" hidden="1"/>
    </xf>
    <xf numFmtId="0" fontId="3" fillId="0" borderId="57" xfId="213" applyFont="1" applyBorder="1" applyAlignment="1" applyProtection="1">
      <alignment vertical="center"/>
      <protection locked="0" hidden="1"/>
    </xf>
    <xf numFmtId="0" fontId="3" fillId="0" borderId="63" xfId="213" applyFont="1" applyBorder="1" applyAlignment="1" applyProtection="1">
      <alignment vertical="center"/>
      <protection locked="0" hidden="1"/>
    </xf>
    <xf numFmtId="0" fontId="3" fillId="0" borderId="42" xfId="213" applyFont="1" applyBorder="1" applyAlignment="1" applyProtection="1">
      <alignment vertical="center"/>
      <protection locked="0" hidden="1"/>
    </xf>
    <xf numFmtId="0" fontId="3" fillId="0" borderId="95" xfId="213" applyFont="1" applyBorder="1" applyAlignment="1" applyProtection="1">
      <alignment horizontal="center" vertical="center"/>
      <protection locked="0" hidden="1"/>
    </xf>
    <xf numFmtId="0" fontId="3" fillId="0" borderId="96" xfId="213" applyFont="1" applyBorder="1" applyAlignment="1" applyProtection="1">
      <alignment horizontal="center" vertical="center"/>
      <protection locked="0" hidden="1"/>
    </xf>
    <xf numFmtId="0" fontId="3" fillId="0" borderId="97" xfId="213" applyFont="1" applyBorder="1" applyAlignment="1" applyProtection="1">
      <alignment horizontal="center" vertical="center"/>
      <protection locked="0" hidden="1"/>
    </xf>
    <xf numFmtId="182" fontId="3" fillId="0" borderId="15" xfId="213" applyNumberFormat="1" applyFont="1" applyBorder="1" applyAlignment="1" applyProtection="1">
      <alignment horizontal="center" vertical="center"/>
      <protection locked="0" hidden="1"/>
    </xf>
    <xf numFmtId="182" fontId="3" fillId="0" borderId="16" xfId="213" applyNumberFormat="1" applyFont="1" applyBorder="1" applyAlignment="1" applyProtection="1">
      <alignment horizontal="center" vertical="center"/>
      <protection locked="0" hidden="1"/>
    </xf>
    <xf numFmtId="0" fontId="3" fillId="0" borderId="94" xfId="213" applyFont="1" applyBorder="1" applyAlignment="1" applyProtection="1">
      <alignment horizontal="right" vertical="center"/>
      <protection locked="0" hidden="1"/>
    </xf>
    <xf numFmtId="0" fontId="3" fillId="0" borderId="99" xfId="213" applyFont="1" applyBorder="1" applyAlignment="1" applyProtection="1">
      <alignment vertical="center"/>
      <protection locked="0" hidden="1"/>
    </xf>
    <xf numFmtId="0" fontId="3" fillId="0" borderId="100" xfId="213" applyFont="1" applyBorder="1" applyAlignment="1" applyProtection="1">
      <alignment horizontal="right" vertical="center"/>
      <protection locked="0" hidden="1"/>
    </xf>
    <xf numFmtId="183" fontId="3" fillId="0" borderId="102" xfId="213" applyNumberFormat="1" applyFont="1" applyBorder="1" applyAlignment="1" applyProtection="1">
      <alignment vertical="center"/>
      <protection locked="0" hidden="1"/>
    </xf>
    <xf numFmtId="183" fontId="3" fillId="0" borderId="99" xfId="213" applyNumberFormat="1" applyFont="1" applyBorder="1" applyAlignment="1" applyProtection="1">
      <alignment vertical="center"/>
      <protection locked="0" hidden="1"/>
    </xf>
    <xf numFmtId="0" fontId="3" fillId="0" borderId="102" xfId="213" applyFont="1" applyBorder="1" applyAlignment="1" applyProtection="1">
      <alignment vertical="center"/>
      <protection locked="0" hidden="1"/>
    </xf>
    <xf numFmtId="0" fontId="20" fillId="0" borderId="0" xfId="213" applyFont="1" applyAlignment="1" applyProtection="1">
      <alignment vertical="center" wrapText="1"/>
      <protection locked="0"/>
    </xf>
    <xf numFmtId="0" fontId="20" fillId="0" borderId="13" xfId="213" applyFont="1" applyBorder="1" applyAlignment="1" applyProtection="1">
      <alignment vertical="center" wrapText="1"/>
      <protection locked="0"/>
    </xf>
    <xf numFmtId="0" fontId="20" fillId="0" borderId="14" xfId="213" applyFont="1" applyBorder="1" applyAlignment="1" applyProtection="1">
      <alignment vertical="center" wrapText="1"/>
      <protection locked="0"/>
    </xf>
    <xf numFmtId="0" fontId="6" fillId="0" borderId="8" xfId="213" applyFont="1" applyBorder="1" applyProtection="1">
      <protection locked="0" hidden="1"/>
    </xf>
    <xf numFmtId="0" fontId="3" fillId="8" borderId="103" xfId="213" applyFont="1" applyFill="1" applyBorder="1" applyAlignment="1" applyProtection="1">
      <alignment horizontal="left" vertical="center"/>
      <protection locked="0" hidden="1"/>
    </xf>
    <xf numFmtId="0" fontId="3" fillId="9" borderId="105" xfId="213" applyFont="1" applyFill="1" applyBorder="1" applyAlignment="1" applyProtection="1">
      <alignment horizontal="left" vertical="center"/>
      <protection locked="0" hidden="1"/>
    </xf>
    <xf numFmtId="0" fontId="3" fillId="10" borderId="105" xfId="213" applyFont="1" applyFill="1" applyBorder="1" applyAlignment="1" applyProtection="1">
      <alignment horizontal="left" vertical="center"/>
      <protection locked="0" hidden="1"/>
    </xf>
    <xf numFmtId="0" fontId="3" fillId="11" borderId="105" xfId="213" applyFont="1" applyFill="1" applyBorder="1" applyAlignment="1" applyProtection="1">
      <alignment horizontal="left" vertical="center"/>
      <protection locked="0" hidden="1"/>
    </xf>
    <xf numFmtId="0" fontId="3" fillId="11" borderId="99" xfId="213" applyFont="1" applyFill="1" applyBorder="1" applyAlignment="1" applyProtection="1">
      <alignment vertical="center"/>
      <protection locked="0" hidden="1"/>
    </xf>
    <xf numFmtId="0" fontId="3" fillId="8" borderId="98" xfId="213" applyFont="1" applyFill="1" applyBorder="1" applyAlignment="1" applyProtection="1">
      <alignment vertical="center"/>
      <protection locked="0" hidden="1"/>
    </xf>
    <xf numFmtId="0" fontId="3" fillId="9" borderId="99" xfId="213" applyFont="1" applyFill="1" applyBorder="1" applyAlignment="1" applyProtection="1">
      <alignment vertical="center"/>
      <protection locked="0" hidden="1"/>
    </xf>
    <xf numFmtId="0" fontId="3" fillId="10" borderId="99" xfId="213" applyFont="1" applyFill="1" applyBorder="1" applyAlignment="1" applyProtection="1">
      <alignment vertical="center"/>
      <protection locked="0" hidden="1"/>
    </xf>
    <xf numFmtId="0" fontId="3" fillId="0" borderId="102" xfId="213" applyFont="1" applyBorder="1" applyAlignment="1" applyProtection="1">
      <alignment horizontal="center" vertical="center"/>
      <protection locked="0" hidden="1"/>
    </xf>
    <xf numFmtId="0" fontId="3" fillId="0" borderId="104" xfId="213" applyFont="1" applyBorder="1" applyAlignment="1" applyProtection="1">
      <alignment horizontal="center" vertical="center"/>
      <protection hidden="1"/>
    </xf>
    <xf numFmtId="175" fontId="3" fillId="0" borderId="100" xfId="213" applyNumberFormat="1" applyFont="1" applyBorder="1" applyAlignment="1" applyProtection="1">
      <alignment horizontal="center" vertical="center"/>
      <protection locked="0" hidden="1"/>
    </xf>
    <xf numFmtId="0" fontId="6" fillId="0" borderId="13" xfId="213" applyFont="1" applyBorder="1" applyAlignment="1" applyProtection="1">
      <alignment horizontal="right"/>
      <protection locked="0" hidden="1"/>
    </xf>
    <xf numFmtId="0" fontId="0" fillId="2" borderId="0" xfId="0" applyFill="1" applyProtection="1">
      <protection locked="0"/>
    </xf>
    <xf numFmtId="0" fontId="21" fillId="0" borderId="0" xfId="213" applyFont="1" applyAlignment="1" applyProtection="1">
      <alignment vertical="center"/>
      <protection locked="0"/>
    </xf>
    <xf numFmtId="0" fontId="3" fillId="0" borderId="48" xfId="213" applyFont="1" applyBorder="1" applyProtection="1">
      <protection locked="0" hidden="1"/>
    </xf>
    <xf numFmtId="0" fontId="6" fillId="0" borderId="15" xfId="213" applyFont="1" applyBorder="1" applyProtection="1">
      <protection locked="0" hidden="1"/>
    </xf>
    <xf numFmtId="0" fontId="3" fillId="0" borderId="15" xfId="213" applyFont="1" applyBorder="1" applyProtection="1">
      <protection locked="0" hidden="1"/>
    </xf>
    <xf numFmtId="0" fontId="3" fillId="0" borderId="23" xfId="213" applyFont="1" applyBorder="1" applyProtection="1">
      <protection locked="0" hidden="1"/>
    </xf>
    <xf numFmtId="0" fontId="3" fillId="0" borderId="16" xfId="213" applyFont="1" applyBorder="1" applyProtection="1">
      <protection locked="0" hidden="1"/>
    </xf>
    <xf numFmtId="0" fontId="3" fillId="0" borderId="25" xfId="213" applyFont="1" applyBorder="1" applyProtection="1">
      <protection locked="0" hidden="1"/>
    </xf>
    <xf numFmtId="0" fontId="21" fillId="0" borderId="16" xfId="213" applyFont="1" applyBorder="1" applyAlignment="1" applyProtection="1">
      <alignment vertical="center"/>
      <protection locked="0"/>
    </xf>
    <xf numFmtId="0" fontId="10" fillId="2" borderId="0" xfId="0" applyFont="1" applyFill="1" applyAlignment="1" applyProtection="1">
      <alignment horizontal="center"/>
      <protection locked="0"/>
    </xf>
    <xf numFmtId="49" fontId="9" fillId="0" borderId="5" xfId="1" applyNumberFormat="1" applyFont="1" applyBorder="1" applyAlignment="1" applyProtection="1">
      <alignment horizontal="center" vertical="center"/>
      <protection hidden="1"/>
    </xf>
    <xf numFmtId="0" fontId="9" fillId="0" borderId="10" xfId="1" applyFont="1" applyBorder="1" applyAlignment="1" applyProtection="1">
      <alignment horizontal="center" vertical="center"/>
      <protection hidden="1"/>
    </xf>
    <xf numFmtId="0" fontId="3" fillId="4" borderId="5" xfId="105" applyFont="1" applyFill="1" applyBorder="1" applyAlignment="1">
      <alignment horizontal="center" vertical="center"/>
    </xf>
    <xf numFmtId="0" fontId="3" fillId="4" borderId="19" xfId="105" applyFont="1" applyFill="1" applyBorder="1" applyAlignment="1">
      <alignment horizontal="center" vertical="center"/>
    </xf>
    <xf numFmtId="0" fontId="3" fillId="4" borderId="11" xfId="105" applyFont="1" applyFill="1" applyBorder="1" applyAlignment="1">
      <alignment horizontal="center" vertical="center"/>
    </xf>
    <xf numFmtId="171" fontId="3" fillId="4" borderId="11" xfId="105" applyNumberFormat="1" applyFont="1" applyFill="1" applyBorder="1" applyAlignment="1">
      <alignment horizontal="center" vertical="center"/>
    </xf>
    <xf numFmtId="0" fontId="3" fillId="0" borderId="13" xfId="213" applyFont="1" applyBorder="1" applyProtection="1">
      <protection hidden="1"/>
    </xf>
    <xf numFmtId="0" fontId="3" fillId="0" borderId="2" xfId="213" applyFont="1" applyBorder="1" applyAlignment="1" applyProtection="1">
      <alignment horizontal="center" vertical="center"/>
      <protection locked="0" hidden="1"/>
    </xf>
    <xf numFmtId="0" fontId="20" fillId="0" borderId="61" xfId="213" applyFont="1" applyBorder="1" applyAlignment="1" applyProtection="1">
      <alignment horizontal="center" vertical="center"/>
      <protection locked="0"/>
    </xf>
    <xf numFmtId="0" fontId="20" fillId="0" borderId="49" xfId="213" applyFont="1" applyBorder="1" applyAlignment="1" applyProtection="1">
      <alignment horizontal="center" vertical="center"/>
      <protection locked="0"/>
    </xf>
    <xf numFmtId="0" fontId="20" fillId="0" borderId="62" xfId="213" applyFont="1" applyBorder="1" applyAlignment="1" applyProtection="1">
      <alignment horizontal="center" vertical="center"/>
      <protection locked="0"/>
    </xf>
    <xf numFmtId="174" fontId="3" fillId="2" borderId="39" xfId="105" applyNumberFormat="1" applyFont="1" applyFill="1" applyBorder="1" applyAlignment="1" applyProtection="1">
      <alignment horizontal="center" vertical="center"/>
      <protection locked="0"/>
    </xf>
    <xf numFmtId="0" fontId="6" fillId="2" borderId="39" xfId="105" applyFont="1" applyFill="1" applyBorder="1" applyAlignment="1" applyProtection="1">
      <alignment horizontal="center"/>
      <protection locked="0"/>
    </xf>
    <xf numFmtId="0" fontId="3" fillId="5" borderId="93" xfId="216" applyFont="1" applyFill="1" applyBorder="1" applyAlignment="1" applyProtection="1">
      <alignment horizontal="center" vertical="center"/>
      <protection locked="0" hidden="1"/>
    </xf>
    <xf numFmtId="0" fontId="3" fillId="5" borderId="74" xfId="216" applyFont="1" applyFill="1" applyBorder="1" applyAlignment="1" applyProtection="1">
      <alignment horizontal="center" vertical="center"/>
      <protection locked="0" hidden="1"/>
    </xf>
    <xf numFmtId="172" fontId="6" fillId="2" borderId="39" xfId="105" applyNumberFormat="1" applyFont="1" applyFill="1" applyBorder="1" applyAlignment="1" applyProtection="1">
      <alignment horizontal="center" vertical="center"/>
      <protection locked="0"/>
    </xf>
    <xf numFmtId="0" fontId="9" fillId="0" borderId="0" xfId="105" applyFont="1" applyAlignment="1" applyProtection="1">
      <alignment horizontal="right"/>
      <protection locked="0" hidden="1"/>
    </xf>
    <xf numFmtId="0" fontId="9" fillId="0" borderId="0" xfId="105" applyFont="1" applyProtection="1">
      <protection locked="0" hidden="1"/>
    </xf>
    <xf numFmtId="0" fontId="9" fillId="0" borderId="0" xfId="105" applyFont="1" applyAlignment="1" applyProtection="1">
      <alignment horizontal="center"/>
      <protection locked="0"/>
    </xf>
    <xf numFmtId="0" fontId="9" fillId="0" borderId="0" xfId="105" applyFont="1" applyAlignment="1" applyProtection="1">
      <alignment wrapText="1"/>
      <protection locked="0" hidden="1"/>
    </xf>
    <xf numFmtId="0" fontId="7" fillId="2" borderId="39" xfId="0" applyFont="1" applyFill="1" applyBorder="1" applyAlignment="1" applyProtection="1">
      <alignment horizontal="center" vertical="center"/>
      <protection locked="0"/>
    </xf>
    <xf numFmtId="187" fontId="3" fillId="2" borderId="39" xfId="105" applyNumberFormat="1" applyFont="1" applyFill="1" applyBorder="1" applyAlignment="1" applyProtection="1">
      <alignment horizontal="center" vertical="center"/>
      <protection locked="0"/>
    </xf>
    <xf numFmtId="0" fontId="25" fillId="0" borderId="0" xfId="213" applyFont="1" applyProtection="1">
      <protection locked="0" hidden="1"/>
    </xf>
    <xf numFmtId="0" fontId="20" fillId="0" borderId="15" xfId="213" applyFont="1" applyBorder="1" applyAlignment="1" applyProtection="1">
      <alignment horizontal="center"/>
      <protection locked="0"/>
    </xf>
    <xf numFmtId="0" fontId="3" fillId="0" borderId="67" xfId="213" applyFont="1" applyBorder="1" applyAlignment="1" applyProtection="1">
      <alignment vertical="top"/>
      <protection locked="0" hidden="1"/>
    </xf>
    <xf numFmtId="0" fontId="3" fillId="2" borderId="15" xfId="105" applyFont="1" applyFill="1" applyBorder="1" applyAlignment="1" applyProtection="1">
      <alignment horizontal="left" indent="1"/>
      <protection locked="0"/>
    </xf>
    <xf numFmtId="0" fontId="10" fillId="2" borderId="0" xfId="0" applyFont="1" applyFill="1" applyAlignment="1" applyProtection="1">
      <alignment horizontal="left"/>
      <protection locked="0"/>
    </xf>
    <xf numFmtId="0" fontId="10" fillId="2" borderId="0" xfId="0" applyFont="1" applyFill="1" applyAlignment="1" applyProtection="1">
      <alignment horizontal="center" vertical="top" wrapText="1"/>
      <protection locked="0"/>
    </xf>
    <xf numFmtId="0" fontId="20" fillId="0" borderId="39" xfId="213" applyFont="1" applyBorder="1" applyAlignment="1" applyProtection="1">
      <alignment horizontal="center"/>
      <protection locked="0"/>
    </xf>
    <xf numFmtId="0" fontId="20" fillId="0" borderId="15" xfId="213" applyFont="1" applyBorder="1" applyProtection="1">
      <protection locked="0"/>
    </xf>
    <xf numFmtId="0" fontId="21" fillId="0" borderId="23" xfId="213" applyFont="1" applyBorder="1" applyProtection="1">
      <protection locked="0"/>
    </xf>
    <xf numFmtId="0" fontId="20" fillId="0" borderId="16" xfId="213" applyFont="1" applyBorder="1" applyAlignment="1" applyProtection="1">
      <alignment horizontal="center"/>
      <protection locked="0"/>
    </xf>
    <xf numFmtId="0" fontId="20" fillId="0" borderId="25" xfId="213" applyFont="1" applyBorder="1" applyAlignment="1" applyProtection="1">
      <alignment horizontal="center"/>
      <protection locked="0"/>
    </xf>
    <xf numFmtId="0" fontId="20" fillId="0" borderId="16" xfId="213" applyFont="1" applyBorder="1" applyProtection="1">
      <protection locked="0"/>
    </xf>
    <xf numFmtId="0" fontId="21" fillId="0" borderId="25" xfId="213" applyFont="1" applyBorder="1" applyProtection="1">
      <protection locked="0"/>
    </xf>
    <xf numFmtId="0" fontId="20" fillId="0" borderId="17" xfId="213" applyFont="1" applyBorder="1" applyAlignment="1" applyProtection="1">
      <alignment horizontal="center"/>
      <protection locked="0"/>
    </xf>
    <xf numFmtId="0" fontId="21" fillId="0" borderId="79" xfId="213" applyFont="1" applyBorder="1" applyProtection="1">
      <protection locked="0"/>
    </xf>
    <xf numFmtId="0" fontId="21" fillId="0" borderId="39" xfId="213" applyFont="1" applyBorder="1" applyProtection="1">
      <protection locked="0"/>
    </xf>
    <xf numFmtId="0" fontId="20" fillId="0" borderId="84" xfId="213" applyFont="1" applyBorder="1" applyAlignment="1" applyProtection="1">
      <alignment horizontal="center"/>
      <protection locked="0"/>
    </xf>
    <xf numFmtId="0" fontId="20" fillId="0" borderId="20" xfId="213" applyFont="1" applyBorder="1" applyProtection="1">
      <protection locked="0"/>
    </xf>
    <xf numFmtId="0" fontId="20" fillId="0" borderId="122" xfId="213" applyFont="1" applyBorder="1" applyAlignment="1" applyProtection="1">
      <alignment horizontal="center"/>
      <protection locked="0"/>
    </xf>
    <xf numFmtId="0" fontId="20" fillId="0" borderId="79" xfId="213" applyFont="1" applyBorder="1" applyAlignment="1" applyProtection="1">
      <alignment horizontal="center"/>
      <protection locked="0"/>
    </xf>
    <xf numFmtId="0" fontId="20" fillId="0" borderId="16" xfId="213" applyFont="1" applyBorder="1" applyAlignment="1" applyProtection="1">
      <alignment horizontal="center" wrapText="1"/>
      <protection locked="0"/>
    </xf>
    <xf numFmtId="0" fontId="20" fillId="0" borderId="39" xfId="213" applyFont="1" applyBorder="1" applyAlignment="1" applyProtection="1">
      <alignment horizontal="center" wrapText="1"/>
      <protection locked="0"/>
    </xf>
    <xf numFmtId="0" fontId="3" fillId="0" borderId="127" xfId="213" applyFont="1" applyBorder="1" applyProtection="1">
      <protection locked="0" hidden="1"/>
    </xf>
    <xf numFmtId="185" fontId="6" fillId="0" borderId="82" xfId="105" applyNumberFormat="1" applyFont="1" applyBorder="1" applyAlignment="1" applyProtection="1">
      <alignment horizontal="center"/>
      <protection locked="0"/>
    </xf>
    <xf numFmtId="0" fontId="6" fillId="0" borderId="86" xfId="105" applyFont="1" applyBorder="1" applyAlignment="1" applyProtection="1">
      <alignment horizontal="center"/>
      <protection locked="0"/>
    </xf>
    <xf numFmtId="0" fontId="3" fillId="0" borderId="6" xfId="105" applyFont="1" applyBorder="1" applyAlignment="1">
      <alignment horizontal="center" vertical="center"/>
    </xf>
    <xf numFmtId="171" fontId="3" fillId="0" borderId="11" xfId="105" applyNumberFormat="1" applyFont="1" applyBorder="1" applyAlignment="1">
      <alignment horizontal="center" vertical="center"/>
    </xf>
    <xf numFmtId="0" fontId="3" fillId="2" borderId="0" xfId="105" applyFont="1" applyFill="1" applyAlignment="1" applyProtection="1">
      <alignment horizontal="left"/>
      <protection locked="0"/>
    </xf>
    <xf numFmtId="0" fontId="3" fillId="2" borderId="15" xfId="105" applyFont="1" applyFill="1" applyBorder="1" applyAlignment="1" applyProtection="1">
      <alignment horizontal="left"/>
      <protection locked="0"/>
    </xf>
    <xf numFmtId="0" fontId="21" fillId="2" borderId="0" xfId="105" applyFont="1" applyFill="1" applyAlignment="1" applyProtection="1">
      <alignment horizontal="left" vertical="center" wrapText="1"/>
      <protection locked="0"/>
    </xf>
    <xf numFmtId="0" fontId="3" fillId="5" borderId="87" xfId="105" applyFont="1" applyFill="1" applyBorder="1" applyAlignment="1" applyProtection="1">
      <alignment horizontal="center"/>
      <protection locked="0"/>
    </xf>
    <xf numFmtId="174" fontId="3" fillId="0" borderId="87" xfId="105" applyNumberFormat="1" applyFont="1" applyBorder="1" applyAlignment="1" applyProtection="1">
      <alignment horizontal="center" vertical="center"/>
      <protection locked="0"/>
    </xf>
    <xf numFmtId="0" fontId="3" fillId="2" borderId="100" xfId="0" applyFont="1" applyFill="1" applyBorder="1" applyAlignment="1" applyProtection="1">
      <alignment horizontal="center"/>
      <protection locked="0"/>
    </xf>
    <xf numFmtId="0" fontId="3" fillId="2" borderId="0" xfId="0" applyFont="1" applyFill="1" applyAlignment="1" applyProtection="1">
      <alignment wrapText="1"/>
      <protection locked="0"/>
    </xf>
    <xf numFmtId="0" fontId="3" fillId="2" borderId="15" xfId="0" applyFont="1" applyFill="1" applyBorder="1" applyAlignment="1" applyProtection="1">
      <alignment horizontal="center"/>
      <protection locked="0"/>
    </xf>
    <xf numFmtId="0" fontId="20" fillId="0" borderId="23" xfId="213" applyFont="1" applyBorder="1" applyAlignment="1" applyProtection="1">
      <alignment horizontal="center"/>
      <protection locked="0"/>
    </xf>
    <xf numFmtId="0" fontId="20" fillId="0" borderId="75" xfId="213" applyFont="1" applyBorder="1" applyAlignment="1" applyProtection="1">
      <alignment horizontal="center"/>
      <protection locked="0"/>
    </xf>
    <xf numFmtId="0" fontId="20" fillId="0" borderId="25" xfId="213" applyFont="1" applyBorder="1" applyAlignment="1" applyProtection="1">
      <alignment horizontal="center" wrapText="1"/>
      <protection locked="0"/>
    </xf>
    <xf numFmtId="172" fontId="6" fillId="2" borderId="39" xfId="105" applyNumberFormat="1" applyFont="1" applyFill="1" applyBorder="1" applyAlignment="1" applyProtection="1">
      <alignment horizontal="center" vertical="center" wrapText="1"/>
      <protection locked="0"/>
    </xf>
    <xf numFmtId="187" fontId="3" fillId="2" borderId="39" xfId="105" applyNumberFormat="1" applyFont="1" applyFill="1" applyBorder="1" applyAlignment="1" applyProtection="1">
      <alignment vertical="center"/>
      <protection locked="0"/>
    </xf>
    <xf numFmtId="0" fontId="10" fillId="2" borderId="14" xfId="0" applyFont="1" applyFill="1" applyBorder="1" applyProtection="1">
      <protection locked="0"/>
    </xf>
    <xf numFmtId="0" fontId="0" fillId="0" borderId="14" xfId="0" applyBorder="1"/>
    <xf numFmtId="0" fontId="0" fillId="0" borderId="8" xfId="0" applyBorder="1"/>
    <xf numFmtId="0" fontId="0" fillId="0" borderId="1" xfId="0" applyBorder="1"/>
    <xf numFmtId="0" fontId="0" fillId="0" borderId="18" xfId="0" applyBorder="1"/>
    <xf numFmtId="2" fontId="20" fillId="0" borderId="29" xfId="213" applyNumberFormat="1" applyFont="1" applyBorder="1" applyAlignment="1" applyProtection="1">
      <alignment horizontal="center" vertical="center"/>
      <protection locked="0"/>
    </xf>
    <xf numFmtId="2" fontId="20" fillId="0" borderId="30" xfId="213" applyNumberFormat="1" applyFont="1" applyBorder="1" applyAlignment="1" applyProtection="1">
      <alignment horizontal="center" vertical="center"/>
      <protection locked="0"/>
    </xf>
    <xf numFmtId="2" fontId="20" fillId="0" borderId="31" xfId="213" applyNumberFormat="1" applyFont="1" applyBorder="1" applyAlignment="1" applyProtection="1">
      <alignment horizontal="center" vertical="center"/>
      <protection locked="0"/>
    </xf>
    <xf numFmtId="2" fontId="20" fillId="0" borderId="61" xfId="213" applyNumberFormat="1" applyFont="1" applyBorder="1" applyAlignment="1" applyProtection="1">
      <alignment horizontal="center" vertical="center"/>
      <protection locked="0"/>
    </xf>
    <xf numFmtId="2" fontId="20" fillId="0" borderId="49" xfId="213" applyNumberFormat="1" applyFont="1" applyBorder="1" applyAlignment="1" applyProtection="1">
      <alignment horizontal="center" vertical="center"/>
      <protection locked="0"/>
    </xf>
    <xf numFmtId="2" fontId="20" fillId="0" borderId="62" xfId="213" applyNumberFormat="1" applyFont="1" applyBorder="1" applyAlignment="1" applyProtection="1">
      <alignment horizontal="center" vertical="center"/>
      <protection locked="0"/>
    </xf>
    <xf numFmtId="0" fontId="3" fillId="4" borderId="128" xfId="105" applyFont="1" applyFill="1" applyBorder="1" applyAlignment="1">
      <alignment horizontal="center" vertical="center"/>
    </xf>
    <xf numFmtId="0" fontId="3" fillId="4" borderId="89" xfId="105" applyFont="1" applyFill="1" applyBorder="1" applyAlignment="1">
      <alignment horizontal="center" vertical="center"/>
    </xf>
    <xf numFmtId="0" fontId="25" fillId="0" borderId="0" xfId="213" applyFont="1" applyAlignment="1" applyProtection="1">
      <alignment vertical="center"/>
      <protection locked="0" hidden="1"/>
    </xf>
    <xf numFmtId="0" fontId="3" fillId="0" borderId="133" xfId="213" applyFont="1" applyBorder="1" applyProtection="1">
      <protection hidden="1"/>
    </xf>
    <xf numFmtId="0" fontId="6" fillId="0" borderId="133" xfId="213" applyFont="1" applyBorder="1" applyAlignment="1" applyProtection="1">
      <alignment vertical="center"/>
      <protection hidden="1"/>
    </xf>
    <xf numFmtId="0" fontId="6" fillId="0" borderId="1" xfId="213" applyFont="1" applyBorder="1" applyAlignment="1" applyProtection="1">
      <alignment vertical="center"/>
      <protection hidden="1"/>
    </xf>
    <xf numFmtId="0" fontId="3" fillId="0" borderId="133" xfId="213" applyFont="1" applyBorder="1" applyProtection="1">
      <protection locked="0" hidden="1"/>
    </xf>
    <xf numFmtId="0" fontId="3" fillId="0" borderId="134" xfId="213" applyFont="1" applyBorder="1" applyProtection="1">
      <protection locked="0" hidden="1"/>
    </xf>
    <xf numFmtId="0" fontId="3" fillId="0" borderId="18" xfId="213" applyFont="1" applyBorder="1" applyProtection="1">
      <protection hidden="1"/>
    </xf>
    <xf numFmtId="0" fontId="6" fillId="0" borderId="0" xfId="213" applyFont="1" applyAlignment="1" applyProtection="1">
      <alignment vertical="center" wrapText="1"/>
      <protection hidden="1"/>
    </xf>
    <xf numFmtId="0" fontId="3" fillId="0" borderId="134" xfId="213" applyFont="1" applyBorder="1" applyProtection="1">
      <protection hidden="1"/>
    </xf>
    <xf numFmtId="0" fontId="3" fillId="0" borderId="14" xfId="213" applyFont="1" applyBorder="1" applyProtection="1">
      <protection hidden="1"/>
    </xf>
    <xf numFmtId="0" fontId="0" fillId="0" borderId="134" xfId="0" applyBorder="1"/>
    <xf numFmtId="0" fontId="3" fillId="0" borderId="134" xfId="0" applyFont="1" applyBorder="1" applyProtection="1">
      <protection locked="0"/>
    </xf>
    <xf numFmtId="0" fontId="10" fillId="0" borderId="134" xfId="0" applyFont="1" applyBorder="1" applyProtection="1">
      <protection locked="0"/>
    </xf>
    <xf numFmtId="0" fontId="3" fillId="0" borderId="134" xfId="105" applyFont="1" applyBorder="1" applyAlignment="1" applyProtection="1">
      <alignment vertical="center"/>
      <protection locked="0" hidden="1"/>
    </xf>
    <xf numFmtId="0" fontId="3" fillId="0" borderId="14" xfId="0" applyFont="1" applyBorder="1" applyAlignment="1" applyProtection="1">
      <alignment horizontal="left"/>
      <protection locked="0"/>
    </xf>
    <xf numFmtId="0" fontId="3" fillId="0" borderId="133" xfId="0" applyFont="1" applyBorder="1"/>
    <xf numFmtId="0" fontId="43" fillId="0" borderId="39" xfId="0" applyFont="1" applyBorder="1" applyAlignment="1">
      <alignment horizontal="center" vertical="center"/>
    </xf>
    <xf numFmtId="14" fontId="13" fillId="0" borderId="39" xfId="0" applyNumberFormat="1" applyFont="1" applyBorder="1" applyAlignment="1">
      <alignment horizontal="center" vertical="center"/>
    </xf>
    <xf numFmtId="0" fontId="10" fillId="2" borderId="134" xfId="0" applyFont="1" applyFill="1" applyBorder="1" applyAlignment="1" applyProtection="1">
      <alignment horizontal="left" vertical="top" indent="1"/>
      <protection locked="0"/>
    </xf>
    <xf numFmtId="0" fontId="3" fillId="6" borderId="142" xfId="105" applyFont="1" applyFill="1" applyBorder="1" applyProtection="1">
      <protection locked="0"/>
    </xf>
    <xf numFmtId="0" fontId="9" fillId="4" borderId="139" xfId="105" applyFont="1" applyFill="1" applyBorder="1" applyAlignment="1">
      <alignment horizontal="center" vertical="center"/>
    </xf>
    <xf numFmtId="0" fontId="9" fillId="0" borderId="145" xfId="216" applyFont="1" applyBorder="1" applyAlignment="1">
      <alignment vertical="center"/>
    </xf>
    <xf numFmtId="0" fontId="6" fillId="0" borderId="133" xfId="216" applyFont="1" applyBorder="1" applyAlignment="1">
      <alignment vertical="center"/>
    </xf>
    <xf numFmtId="0" fontId="9" fillId="4" borderId="133" xfId="105" applyFont="1" applyFill="1" applyBorder="1" applyAlignment="1">
      <alignment horizontal="center" vertical="center"/>
    </xf>
    <xf numFmtId="0" fontId="25" fillId="0" borderId="134" xfId="216" applyFont="1" applyBorder="1" applyAlignment="1">
      <alignment horizontal="center" vertical="center"/>
    </xf>
    <xf numFmtId="1" fontId="9" fillId="4" borderId="146" xfId="105" applyNumberFormat="1" applyFont="1" applyFill="1" applyBorder="1" applyAlignment="1">
      <alignment horizontal="center" vertical="center"/>
    </xf>
    <xf numFmtId="0" fontId="3" fillId="0" borderId="145" xfId="0" applyFont="1" applyBorder="1" applyProtection="1">
      <protection locked="0"/>
    </xf>
    <xf numFmtId="0" fontId="3" fillId="0" borderId="133" xfId="0" applyFont="1" applyBorder="1" applyProtection="1">
      <protection locked="0"/>
    </xf>
    <xf numFmtId="0" fontId="3" fillId="0" borderId="133" xfId="0" applyFont="1" applyBorder="1" applyAlignment="1" applyProtection="1">
      <alignment horizontal="center"/>
      <protection locked="0"/>
    </xf>
    <xf numFmtId="0" fontId="7" fillId="0" borderId="133" xfId="0" applyFont="1" applyBorder="1" applyProtection="1">
      <protection locked="0"/>
    </xf>
    <xf numFmtId="0" fontId="9" fillId="0" borderId="133" xfId="1" applyFont="1" applyBorder="1" applyAlignment="1" applyProtection="1">
      <alignment horizontal="center" vertical="center"/>
      <protection locked="0" hidden="1"/>
    </xf>
    <xf numFmtId="15" fontId="9" fillId="0" borderId="133" xfId="1" applyNumberFormat="1" applyFont="1" applyBorder="1" applyAlignment="1" applyProtection="1">
      <alignment horizontal="center" vertical="center"/>
      <protection locked="0" hidden="1"/>
    </xf>
    <xf numFmtId="0" fontId="9" fillId="0" borderId="147" xfId="1" applyFont="1" applyBorder="1" applyAlignment="1" applyProtection="1">
      <alignment horizontal="center" vertical="center"/>
      <protection locked="0" hidden="1"/>
    </xf>
    <xf numFmtId="0" fontId="10" fillId="0" borderId="134" xfId="0" applyFont="1" applyBorder="1" applyAlignment="1" applyProtection="1">
      <alignment horizontal="right"/>
      <protection locked="0"/>
    </xf>
    <xf numFmtId="0" fontId="54" fillId="12" borderId="39" xfId="0" applyFont="1" applyFill="1" applyBorder="1" applyAlignment="1">
      <alignment horizontal="center" vertical="center"/>
    </xf>
    <xf numFmtId="0" fontId="54" fillId="12" borderId="148" xfId="0" applyFont="1" applyFill="1" applyBorder="1" applyAlignment="1">
      <alignment horizontal="center" vertical="center"/>
    </xf>
    <xf numFmtId="0" fontId="6" fillId="0" borderId="129" xfId="213" applyFont="1" applyBorder="1" applyAlignment="1" applyProtection="1">
      <alignment vertical="center"/>
      <protection hidden="1"/>
    </xf>
    <xf numFmtId="0" fontId="6" fillId="0" borderId="90" xfId="213" applyFont="1" applyBorder="1" applyAlignment="1" applyProtection="1">
      <alignment vertical="center"/>
      <protection hidden="1"/>
    </xf>
    <xf numFmtId="0" fontId="6" fillId="0" borderId="138" xfId="213" applyFont="1" applyBorder="1" applyAlignment="1" applyProtection="1">
      <alignment vertical="center"/>
      <protection hidden="1"/>
    </xf>
    <xf numFmtId="0" fontId="43" fillId="0" borderId="139" xfId="0" applyFont="1" applyBorder="1" applyAlignment="1">
      <alignment horizontal="center" vertical="center" wrapText="1"/>
    </xf>
    <xf numFmtId="0" fontId="3" fillId="6" borderId="146" xfId="105" applyFont="1" applyFill="1" applyBorder="1" applyProtection="1">
      <protection locked="0"/>
    </xf>
    <xf numFmtId="185" fontId="6" fillId="0" borderId="153" xfId="105" applyNumberFormat="1" applyFont="1" applyBorder="1" applyAlignment="1" applyProtection="1">
      <alignment horizontal="center"/>
      <protection locked="0"/>
    </xf>
    <xf numFmtId="0" fontId="6" fillId="0" borderId="157" xfId="105" applyFont="1" applyBorder="1" applyAlignment="1" applyProtection="1">
      <alignment horizontal="center"/>
      <protection locked="0"/>
    </xf>
    <xf numFmtId="0" fontId="6" fillId="0" borderId="139" xfId="216" applyFont="1" applyBorder="1" applyAlignment="1" applyProtection="1">
      <alignment horizontal="center" vertical="center"/>
      <protection locked="0"/>
    </xf>
    <xf numFmtId="0" fontId="56" fillId="0" borderId="39" xfId="0" applyFont="1" applyBorder="1" applyAlignment="1">
      <alignment horizontal="center" vertical="center"/>
    </xf>
    <xf numFmtId="0" fontId="54" fillId="12" borderId="139" xfId="0" applyFont="1" applyFill="1" applyBorder="1" applyAlignment="1">
      <alignment horizontal="center" vertical="center"/>
    </xf>
    <xf numFmtId="0" fontId="13" fillId="0" borderId="139" xfId="0" applyFont="1" applyBorder="1" applyAlignment="1">
      <alignment horizontal="center" vertical="center" wrapText="1"/>
    </xf>
    <xf numFmtId="0" fontId="6" fillId="0" borderId="14" xfId="216" applyFont="1" applyBorder="1" applyAlignment="1" applyProtection="1">
      <alignment vertical="center"/>
      <protection locked="0"/>
    </xf>
    <xf numFmtId="0" fontId="6" fillId="0" borderId="134" xfId="216" applyFont="1" applyBorder="1" applyAlignment="1" applyProtection="1">
      <alignment horizontal="center" vertical="center"/>
      <protection locked="0"/>
    </xf>
    <xf numFmtId="0" fontId="6" fillId="0" borderId="8" xfId="216" applyFont="1" applyBorder="1" applyAlignment="1" applyProtection="1">
      <alignment horizontal="right" vertical="center"/>
      <protection locked="0"/>
    </xf>
    <xf numFmtId="0" fontId="6" fillId="0" borderId="1" xfId="216" applyFont="1" applyBorder="1" applyAlignment="1" applyProtection="1">
      <alignment horizontal="center" vertical="center"/>
      <protection locked="0"/>
    </xf>
    <xf numFmtId="0" fontId="6" fillId="0" borderId="1" xfId="216" applyFont="1" applyBorder="1" applyAlignment="1" applyProtection="1">
      <alignment horizontal="left" vertical="center"/>
      <protection locked="0"/>
    </xf>
    <xf numFmtId="0" fontId="6" fillId="0" borderId="1" xfId="216" applyFont="1" applyBorder="1" applyAlignment="1" applyProtection="1">
      <alignment horizontal="right" vertical="center"/>
      <protection locked="0"/>
    </xf>
    <xf numFmtId="0" fontId="6" fillId="0" borderId="18" xfId="216" applyFont="1" applyBorder="1" applyAlignment="1" applyProtection="1">
      <alignment vertical="center"/>
      <protection locked="0"/>
    </xf>
    <xf numFmtId="191" fontId="6" fillId="0" borderId="157" xfId="216" applyNumberFormat="1" applyFont="1" applyBorder="1" applyAlignment="1" applyProtection="1">
      <alignment horizontal="center" vertical="center" wrapText="1"/>
      <protection locked="0"/>
    </xf>
    <xf numFmtId="190" fontId="6" fillId="0" borderId="139" xfId="216" applyNumberFormat="1" applyFont="1" applyBorder="1" applyAlignment="1" applyProtection="1">
      <alignment horizontal="center" vertical="center"/>
      <protection locked="0"/>
    </xf>
    <xf numFmtId="0" fontId="3" fillId="5" borderId="121" xfId="216" applyFont="1" applyFill="1" applyBorder="1" applyAlignment="1" applyProtection="1">
      <alignment horizontal="center" vertical="center"/>
      <protection locked="0"/>
    </xf>
    <xf numFmtId="0" fontId="0" fillId="0" borderId="0" xfId="0"/>
    <xf numFmtId="0" fontId="6" fillId="0" borderId="129" xfId="213" applyFont="1" applyBorder="1" applyAlignment="1" applyProtection="1">
      <alignment horizontal="center" vertical="center"/>
      <protection locked="0" hidden="1"/>
    </xf>
    <xf numFmtId="0" fontId="6" fillId="0" borderId="90" xfId="213" applyFont="1" applyBorder="1" applyAlignment="1" applyProtection="1">
      <alignment horizontal="center" vertical="center"/>
      <protection locked="0" hidden="1"/>
    </xf>
    <xf numFmtId="0" fontId="6" fillId="0" borderId="130" xfId="213" applyFont="1" applyBorder="1" applyAlignment="1" applyProtection="1">
      <alignment horizontal="center" vertical="center"/>
      <protection locked="0" hidden="1"/>
    </xf>
    <xf numFmtId="0" fontId="9" fillId="4" borderId="73" xfId="105" applyFont="1" applyFill="1" applyBorder="1" applyAlignment="1">
      <alignment horizontal="center" vertical="center"/>
    </xf>
    <xf numFmtId="0" fontId="3" fillId="0" borderId="134" xfId="213" applyFont="1" applyBorder="1" applyAlignment="1" applyProtection="1">
      <alignment horizontal="left" vertical="top"/>
      <protection hidden="1"/>
    </xf>
    <xf numFmtId="0" fontId="3" fillId="0" borderId="14" xfId="213" applyFont="1" applyBorder="1" applyAlignment="1" applyProtection="1">
      <alignment horizontal="left" vertical="top"/>
      <protection hidden="1"/>
    </xf>
    <xf numFmtId="0" fontId="6" fillId="0" borderId="159" xfId="216" applyFont="1" applyBorder="1" applyAlignment="1" applyProtection="1">
      <alignment horizontal="left" vertical="center"/>
      <protection locked="0"/>
    </xf>
    <xf numFmtId="0" fontId="6" fillId="0" borderId="143" xfId="216" applyFont="1" applyBorder="1" applyAlignment="1" applyProtection="1">
      <alignment horizontal="left" vertical="center"/>
      <protection locked="0"/>
    </xf>
    <xf numFmtId="192" fontId="6" fillId="0" borderId="0" xfId="216" applyNumberFormat="1" applyFont="1" applyBorder="1" applyAlignment="1" applyProtection="1">
      <alignment horizontal="center" vertical="center"/>
      <protection locked="0"/>
    </xf>
    <xf numFmtId="191" fontId="6" fillId="0" borderId="14" xfId="216" applyNumberFormat="1" applyFont="1" applyBorder="1" applyAlignment="1" applyProtection="1">
      <alignment horizontal="center" vertical="center" wrapText="1"/>
      <protection locked="0"/>
    </xf>
    <xf numFmtId="0" fontId="3" fillId="6" borderId="0" xfId="105" applyFont="1" applyFill="1" applyBorder="1" applyProtection="1">
      <protection locked="0"/>
    </xf>
    <xf numFmtId="0" fontId="3" fillId="6" borderId="14" xfId="105" applyFont="1" applyFill="1" applyBorder="1" applyProtection="1">
      <protection locked="0"/>
    </xf>
    <xf numFmtId="0" fontId="54" fillId="12" borderId="39" xfId="0" applyFont="1" applyFill="1" applyBorder="1" applyAlignment="1">
      <alignment horizontal="center" vertical="center" wrapText="1"/>
    </xf>
    <xf numFmtId="0" fontId="13" fillId="0" borderId="0" xfId="0" applyFont="1" applyAlignment="1">
      <alignment vertical="center"/>
    </xf>
    <xf numFmtId="0" fontId="58" fillId="0" borderId="1" xfId="105" applyFont="1" applyBorder="1"/>
    <xf numFmtId="0" fontId="50" fillId="2" borderId="0" xfId="0" applyFont="1" applyFill="1" applyBorder="1" applyAlignment="1" applyProtection="1">
      <alignment horizontal="center"/>
      <protection locked="0"/>
    </xf>
    <xf numFmtId="0" fontId="3" fillId="2" borderId="0" xfId="0" applyFont="1" applyFill="1" applyBorder="1" applyAlignment="1" applyProtection="1">
      <alignment horizontal="center"/>
      <protection locked="0"/>
    </xf>
    <xf numFmtId="0" fontId="10" fillId="0" borderId="14" xfId="0" applyFont="1" applyBorder="1" applyAlignment="1" applyProtection="1">
      <alignment horizontal="center" wrapText="1"/>
      <protection locked="0"/>
    </xf>
    <xf numFmtId="0" fontId="5" fillId="0" borderId="145" xfId="0" applyFont="1" applyBorder="1" applyAlignment="1">
      <alignment horizontal="center"/>
    </xf>
    <xf numFmtId="0" fontId="3" fillId="0" borderId="0" xfId="0" applyFont="1" applyBorder="1" applyProtection="1">
      <protection locked="0"/>
    </xf>
    <xf numFmtId="0" fontId="3" fillId="0" borderId="0" xfId="0" applyFont="1" applyBorder="1" applyAlignment="1" applyProtection="1">
      <alignment horizontal="center"/>
      <protection locked="0"/>
    </xf>
    <xf numFmtId="0" fontId="7" fillId="0" borderId="0" xfId="0" applyFont="1" applyBorder="1" applyProtection="1">
      <protection locked="0"/>
    </xf>
    <xf numFmtId="0" fontId="9" fillId="0" borderId="0" xfId="1" applyFont="1" applyBorder="1" applyAlignment="1" applyProtection="1">
      <alignment horizontal="center" vertical="center"/>
      <protection locked="0" hidden="1"/>
    </xf>
    <xf numFmtId="15" fontId="9" fillId="0" borderId="0" xfId="1" applyNumberFormat="1" applyFont="1" applyBorder="1" applyAlignment="1" applyProtection="1">
      <alignment horizontal="center" vertical="center"/>
      <protection locked="0" hidden="1"/>
    </xf>
    <xf numFmtId="0" fontId="10" fillId="2" borderId="0" xfId="0" applyFont="1" applyFill="1" applyBorder="1" applyProtection="1">
      <protection locked="0"/>
    </xf>
    <xf numFmtId="0" fontId="3" fillId="2" borderId="0" xfId="0" applyFont="1" applyFill="1" applyBorder="1" applyProtection="1">
      <protection locked="0"/>
    </xf>
    <xf numFmtId="0" fontId="9" fillId="2" borderId="0" xfId="0" applyFont="1" applyFill="1" applyBorder="1" applyProtection="1">
      <protection locked="0"/>
    </xf>
    <xf numFmtId="0" fontId="9" fillId="0" borderId="134" xfId="0" applyFont="1" applyBorder="1" applyAlignment="1" applyProtection="1">
      <alignment horizontal="left" vertical="top" indent="1"/>
      <protection locked="0"/>
    </xf>
    <xf numFmtId="0" fontId="9" fillId="2" borderId="0" xfId="0" applyFont="1" applyFill="1" applyBorder="1" applyAlignment="1" applyProtection="1">
      <alignment horizontal="left"/>
      <protection locked="0"/>
    </xf>
    <xf numFmtId="0" fontId="3" fillId="0" borderId="0" xfId="0" applyFont="1" applyBorder="1"/>
    <xf numFmtId="0" fontId="11" fillId="2" borderId="0" xfId="0" applyFont="1" applyFill="1" applyBorder="1" applyAlignment="1" applyProtection="1">
      <alignment vertical="top"/>
      <protection locked="0"/>
    </xf>
    <xf numFmtId="0" fontId="10" fillId="2" borderId="0" xfId="0" applyFont="1" applyFill="1" applyBorder="1" applyAlignment="1" applyProtection="1">
      <alignment horizontal="center"/>
      <protection locked="0"/>
    </xf>
    <xf numFmtId="0" fontId="3" fillId="2" borderId="0" xfId="0" applyFont="1" applyFill="1" applyBorder="1" applyAlignment="1" applyProtection="1">
      <alignment horizontal="left"/>
      <protection locked="0"/>
    </xf>
    <xf numFmtId="0" fontId="11" fillId="2" borderId="0" xfId="0" applyFont="1" applyFill="1" applyBorder="1" applyAlignment="1" applyProtection="1">
      <alignment horizontal="center"/>
      <protection locked="0"/>
    </xf>
    <xf numFmtId="0" fontId="10" fillId="0" borderId="0" xfId="0" applyFont="1" applyBorder="1" applyAlignment="1" applyProtection="1">
      <alignment wrapText="1"/>
      <protection locked="0"/>
    </xf>
    <xf numFmtId="0" fontId="10" fillId="2" borderId="0" xfId="0" applyFont="1" applyFill="1" applyBorder="1" applyAlignment="1" applyProtection="1">
      <alignment horizontal="left" vertical="top"/>
      <protection locked="0"/>
    </xf>
    <xf numFmtId="0" fontId="0" fillId="0" borderId="0" xfId="0" applyBorder="1"/>
    <xf numFmtId="0" fontId="51" fillId="2" borderId="0" xfId="0" applyFont="1" applyFill="1" applyBorder="1" applyAlignment="1" applyProtection="1">
      <alignment vertical="top" wrapText="1"/>
      <protection locked="0"/>
    </xf>
    <xf numFmtId="0" fontId="10" fillId="2" borderId="0" xfId="0" applyFont="1" applyFill="1" applyBorder="1" applyAlignment="1" applyProtection="1">
      <alignment vertical="top" wrapText="1"/>
      <protection locked="0"/>
    </xf>
    <xf numFmtId="0" fontId="9" fillId="2" borderId="0" xfId="0" applyFont="1" applyFill="1" applyBorder="1" applyAlignment="1" applyProtection="1">
      <alignment horizontal="right"/>
      <protection locked="0"/>
    </xf>
    <xf numFmtId="0" fontId="10" fillId="2" borderId="0" xfId="0" applyFont="1" applyFill="1" applyBorder="1" applyAlignment="1" applyProtection="1">
      <alignment horizontal="left" indent="1"/>
      <protection locked="0"/>
    </xf>
    <xf numFmtId="0" fontId="9" fillId="0" borderId="134" xfId="0" applyFont="1" applyBorder="1" applyAlignment="1" applyProtection="1">
      <alignment horizontal="left" indent="1"/>
      <protection locked="0"/>
    </xf>
    <xf numFmtId="0" fontId="3" fillId="0" borderId="14" xfId="0" applyFont="1" applyBorder="1"/>
    <xf numFmtId="0" fontId="9" fillId="2" borderId="152" xfId="0" applyFont="1" applyFill="1" applyBorder="1" applyAlignment="1" applyProtection="1">
      <alignment horizontal="right"/>
      <protection locked="0"/>
    </xf>
    <xf numFmtId="0" fontId="9" fillId="2" borderId="141" xfId="0" applyFont="1" applyFill="1" applyBorder="1" applyAlignment="1" applyProtection="1">
      <alignment horizontal="right"/>
      <protection locked="0"/>
    </xf>
    <xf numFmtId="0" fontId="3" fillId="0" borderId="143" xfId="0" applyFont="1" applyBorder="1" applyProtection="1">
      <protection locked="0"/>
    </xf>
    <xf numFmtId="0" fontId="9" fillId="2" borderId="0" xfId="0" applyFont="1" applyFill="1" applyBorder="1" applyAlignment="1" applyProtection="1">
      <protection locked="0"/>
    </xf>
    <xf numFmtId="0" fontId="11" fillId="2" borderId="144" xfId="0" applyFont="1" applyFill="1" applyBorder="1" applyAlignment="1" applyProtection="1">
      <alignment vertical="top"/>
      <protection locked="0"/>
    </xf>
    <xf numFmtId="0" fontId="13" fillId="0" borderId="139" xfId="0" applyFont="1" applyBorder="1" applyAlignment="1">
      <alignment horizontal="center" vertical="center"/>
    </xf>
    <xf numFmtId="0" fontId="9" fillId="0" borderId="134" xfId="0" applyFont="1" applyBorder="1" applyAlignment="1" applyProtection="1">
      <alignment vertical="top"/>
      <protection locked="0"/>
    </xf>
    <xf numFmtId="0" fontId="9" fillId="0" borderId="0" xfId="0" applyFont="1" applyBorder="1" applyAlignment="1" applyProtection="1">
      <alignment vertical="top"/>
      <protection locked="0"/>
    </xf>
    <xf numFmtId="0" fontId="3" fillId="0" borderId="0" xfId="105" applyFont="1" applyBorder="1" applyAlignment="1" applyProtection="1">
      <alignment vertical="center"/>
      <protection locked="0" hidden="1"/>
    </xf>
    <xf numFmtId="0" fontId="6" fillId="0" borderId="0" xfId="105" applyFont="1" applyBorder="1" applyAlignment="1" applyProtection="1">
      <alignment vertical="center"/>
      <protection locked="0" hidden="1"/>
    </xf>
    <xf numFmtId="0" fontId="3" fillId="0" borderId="0" xfId="105" applyFont="1" applyBorder="1" applyAlignment="1" applyProtection="1">
      <alignment horizontal="center" vertical="center"/>
      <protection locked="0" hidden="1"/>
    </xf>
    <xf numFmtId="0" fontId="3" fillId="0" borderId="0" xfId="0" applyFont="1" applyBorder="1" applyAlignment="1" applyProtection="1">
      <alignment vertical="top"/>
      <protection locked="0"/>
    </xf>
    <xf numFmtId="0" fontId="3" fillId="0" borderId="134" xfId="0" applyFont="1" applyBorder="1" applyAlignment="1" applyProtection="1">
      <alignment horizontal="left" indent="1"/>
      <protection locked="0"/>
    </xf>
    <xf numFmtId="0" fontId="3" fillId="2" borderId="0" xfId="0" applyFont="1" applyFill="1" applyBorder="1" applyAlignment="1" applyProtection="1">
      <protection locked="0"/>
    </xf>
    <xf numFmtId="0" fontId="24" fillId="2" borderId="0" xfId="0" applyFont="1" applyFill="1" applyBorder="1" applyAlignment="1" applyProtection="1">
      <alignment horizontal="center"/>
      <protection locked="0"/>
    </xf>
    <xf numFmtId="0" fontId="3" fillId="0" borderId="0" xfId="0" applyFont="1" applyBorder="1" applyAlignment="1" applyProtection="1">
      <alignment wrapText="1"/>
      <protection locked="0"/>
    </xf>
    <xf numFmtId="0" fontId="3" fillId="2" borderId="0" xfId="0" applyFont="1" applyFill="1" applyBorder="1" applyAlignment="1" applyProtection="1">
      <alignment horizontal="left" vertical="top"/>
      <protection locked="0"/>
    </xf>
    <xf numFmtId="0" fontId="13" fillId="0" borderId="0" xfId="0" applyFont="1" applyBorder="1"/>
    <xf numFmtId="0" fontId="3" fillId="2" borderId="152" xfId="0" applyFont="1" applyFill="1" applyBorder="1" applyAlignment="1" applyProtection="1">
      <protection locked="0"/>
    </xf>
    <xf numFmtId="0" fontId="3" fillId="2" borderId="14" xfId="0" applyFont="1" applyFill="1" applyBorder="1" applyAlignment="1" applyProtection="1">
      <protection locked="0"/>
    </xf>
    <xf numFmtId="0" fontId="3" fillId="0" borderId="152" xfId="0" applyFont="1" applyBorder="1" applyAlignment="1" applyProtection="1">
      <protection locked="0"/>
    </xf>
    <xf numFmtId="0" fontId="24" fillId="2" borderId="0" xfId="0" applyFont="1" applyFill="1" applyBorder="1" applyAlignment="1" applyProtection="1">
      <alignment horizontal="left" vertical="top"/>
      <protection locked="0"/>
    </xf>
    <xf numFmtId="0" fontId="6" fillId="0" borderId="0" xfId="216" applyFont="1" applyBorder="1" applyAlignment="1" applyProtection="1">
      <alignment horizontal="left" vertical="center"/>
      <protection locked="0"/>
    </xf>
    <xf numFmtId="0" fontId="13" fillId="0" borderId="1" xfId="0" applyFont="1" applyBorder="1"/>
    <xf numFmtId="0" fontId="3" fillId="0" borderId="134" xfId="0" applyFont="1" applyBorder="1" applyAlignment="1" applyProtection="1">
      <protection locked="0"/>
    </xf>
    <xf numFmtId="0" fontId="3" fillId="0" borderId="0" xfId="0" applyFont="1" applyBorder="1" applyAlignment="1" applyProtection="1">
      <protection locked="0"/>
    </xf>
    <xf numFmtId="0" fontId="3" fillId="0" borderId="0" xfId="0" applyFont="1" applyBorder="1" applyAlignment="1">
      <alignment horizontal="left" vertical="top" wrapText="1"/>
    </xf>
    <xf numFmtId="0" fontId="3" fillId="0" borderId="0" xfId="0" applyFont="1" applyBorder="1" applyAlignment="1"/>
    <xf numFmtId="0" fontId="13" fillId="0" borderId="0" xfId="0" applyFont="1" applyBorder="1" applyAlignment="1"/>
    <xf numFmtId="0" fontId="24" fillId="0" borderId="0" xfId="0" applyFont="1" applyBorder="1" applyAlignment="1" applyProtection="1">
      <protection locked="0"/>
    </xf>
    <xf numFmtId="0" fontId="3" fillId="0" borderId="0" xfId="213" applyFont="1" applyBorder="1" applyAlignment="1" applyProtection="1">
      <alignment horizontal="left" vertical="top"/>
      <protection hidden="1"/>
    </xf>
    <xf numFmtId="0" fontId="3" fillId="0" borderId="133" xfId="213" applyFont="1" applyBorder="1" applyAlignment="1" applyProtection="1">
      <alignment vertical="top"/>
      <protection hidden="1"/>
    </xf>
    <xf numFmtId="0" fontId="3" fillId="0" borderId="147" xfId="213" applyFont="1" applyBorder="1" applyAlignment="1" applyProtection="1">
      <alignment vertical="top"/>
      <protection hidden="1"/>
    </xf>
    <xf numFmtId="0" fontId="3" fillId="0" borderId="134" xfId="213" applyFont="1" applyBorder="1" applyAlignment="1" applyProtection="1">
      <alignment vertical="top" wrapText="1"/>
      <protection hidden="1"/>
    </xf>
    <xf numFmtId="0" fontId="3" fillId="0" borderId="0" xfId="213" applyFont="1" applyBorder="1" applyAlignment="1" applyProtection="1">
      <alignment vertical="top"/>
      <protection hidden="1"/>
    </xf>
    <xf numFmtId="0" fontId="3" fillId="0" borderId="14" xfId="213" applyFont="1" applyBorder="1" applyAlignment="1" applyProtection="1">
      <alignment vertical="top"/>
      <protection hidden="1"/>
    </xf>
    <xf numFmtId="0" fontId="3" fillId="0" borderId="134" xfId="213" applyFont="1" applyBorder="1" applyAlignment="1" applyProtection="1">
      <alignment vertical="top"/>
      <protection hidden="1"/>
    </xf>
    <xf numFmtId="0" fontId="3" fillId="0" borderId="8" xfId="213" applyFont="1" applyBorder="1" applyAlignment="1" applyProtection="1">
      <alignment vertical="top"/>
      <protection hidden="1"/>
    </xf>
    <xf numFmtId="0" fontId="3" fillId="0" borderId="1" xfId="213" applyFont="1" applyBorder="1" applyAlignment="1" applyProtection="1">
      <alignment vertical="top"/>
      <protection hidden="1"/>
    </xf>
    <xf numFmtId="0" fontId="3" fillId="0" borderId="18" xfId="213" applyFont="1" applyBorder="1" applyAlignment="1" applyProtection="1">
      <alignment vertical="top"/>
      <protection hidden="1"/>
    </xf>
    <xf numFmtId="0" fontId="3" fillId="0" borderId="139" xfId="213" applyFont="1" applyBorder="1" applyAlignment="1" applyProtection="1">
      <alignment vertical="top"/>
      <protection hidden="1"/>
    </xf>
    <xf numFmtId="0" fontId="3" fillId="0" borderId="145" xfId="213" applyFont="1" applyBorder="1" applyProtection="1">
      <protection hidden="1"/>
    </xf>
    <xf numFmtId="0" fontId="3" fillId="0" borderId="145" xfId="213" applyFont="1" applyBorder="1" applyAlignment="1" applyProtection="1">
      <alignment vertical="top"/>
      <protection hidden="1"/>
    </xf>
    <xf numFmtId="0" fontId="3" fillId="0" borderId="154" xfId="213" applyFont="1" applyBorder="1" applyAlignment="1" applyProtection="1">
      <alignment vertical="top"/>
      <protection hidden="1"/>
    </xf>
    <xf numFmtId="0" fontId="3" fillId="0" borderId="152" xfId="213" applyFont="1" applyBorder="1" applyAlignment="1" applyProtection="1">
      <alignment vertical="top"/>
      <protection hidden="1"/>
    </xf>
    <xf numFmtId="0" fontId="3" fillId="0" borderId="149" xfId="213" applyFont="1" applyBorder="1" applyAlignment="1" applyProtection="1">
      <alignment vertical="top"/>
      <protection hidden="1"/>
    </xf>
    <xf numFmtId="0" fontId="3" fillId="0" borderId="143" xfId="213" applyFont="1" applyBorder="1" applyAlignment="1" applyProtection="1">
      <alignment vertical="top"/>
      <protection hidden="1"/>
    </xf>
    <xf numFmtId="0" fontId="13" fillId="0" borderId="0" xfId="0" applyFont="1" applyBorder="1" applyAlignment="1">
      <alignment vertical="center"/>
    </xf>
    <xf numFmtId="0" fontId="6" fillId="0" borderId="0" xfId="105" applyFont="1" applyBorder="1" applyAlignment="1">
      <alignment vertical="center"/>
    </xf>
    <xf numFmtId="0" fontId="9" fillId="4" borderId="149" xfId="105" applyFont="1" applyFill="1" applyBorder="1" applyAlignment="1">
      <alignment horizontal="center" vertical="center"/>
    </xf>
    <xf numFmtId="0" fontId="3" fillId="5" borderId="137" xfId="216" applyFont="1" applyFill="1" applyBorder="1" applyAlignment="1" applyProtection="1">
      <alignment horizontal="center" vertical="center"/>
      <protection locked="0"/>
    </xf>
    <xf numFmtId="0" fontId="58" fillId="0" borderId="133" xfId="105" applyFont="1" applyBorder="1"/>
    <xf numFmtId="0" fontId="7" fillId="0" borderId="5" xfId="216" applyFont="1" applyBorder="1" applyAlignment="1" applyProtection="1">
      <alignment horizontal="center" vertical="center" wrapText="1"/>
      <protection locked="0"/>
    </xf>
    <xf numFmtId="0" fontId="7" fillId="0" borderId="10" xfId="216" applyFont="1" applyBorder="1" applyAlignment="1" applyProtection="1">
      <alignment horizontal="center" vertical="center" wrapText="1"/>
      <protection locked="0"/>
    </xf>
    <xf numFmtId="0" fontId="6" fillId="0" borderId="134" xfId="216" applyFont="1" applyBorder="1" applyAlignment="1" applyProtection="1">
      <alignment horizontal="right" vertical="center"/>
      <protection locked="0"/>
    </xf>
    <xf numFmtId="0" fontId="6" fillId="0" borderId="0" xfId="216" applyFont="1" applyBorder="1" applyAlignment="1" applyProtection="1">
      <alignment vertical="center"/>
      <protection locked="0"/>
    </xf>
    <xf numFmtId="189" fontId="6" fillId="0" borderId="154" xfId="216" applyNumberFormat="1" applyFont="1" applyBorder="1" applyAlignment="1" applyProtection="1">
      <alignment horizontal="center" vertical="center"/>
      <protection locked="0"/>
    </xf>
    <xf numFmtId="20" fontId="6" fillId="0" borderId="157" xfId="216" applyNumberFormat="1" applyFont="1" applyBorder="1" applyAlignment="1" applyProtection="1">
      <alignment horizontal="center" vertical="center" wrapText="1"/>
      <protection locked="0"/>
    </xf>
    <xf numFmtId="0" fontId="13" fillId="0" borderId="0" xfId="105" applyBorder="1"/>
    <xf numFmtId="0" fontId="13" fillId="0" borderId="134" xfId="105" applyBorder="1"/>
    <xf numFmtId="0" fontId="6" fillId="0" borderId="146" xfId="216" applyFont="1" applyBorder="1" applyAlignment="1" applyProtection="1">
      <alignment horizontal="center" vertical="center"/>
      <protection locked="0"/>
    </xf>
    <xf numFmtId="190" fontId="6" fillId="0" borderId="146" xfId="216" applyNumberFormat="1" applyFont="1" applyBorder="1" applyAlignment="1" applyProtection="1">
      <alignment horizontal="center" vertical="center"/>
      <protection locked="0"/>
    </xf>
    <xf numFmtId="0" fontId="6" fillId="0" borderId="134" xfId="216" applyFont="1" applyBorder="1" applyAlignment="1" applyProtection="1">
      <alignment vertical="center"/>
      <protection locked="0"/>
    </xf>
    <xf numFmtId="0" fontId="6" fillId="0" borderId="0" xfId="216" applyFont="1" applyBorder="1" applyAlignment="1" applyProtection="1">
      <alignment horizontal="center" vertical="center"/>
      <protection locked="0"/>
    </xf>
    <xf numFmtId="0" fontId="6" fillId="0" borderId="0" xfId="216" applyFont="1" applyBorder="1" applyAlignment="1" applyProtection="1">
      <alignment horizontal="right" vertical="center" wrapText="1"/>
      <protection locked="0"/>
    </xf>
    <xf numFmtId="0" fontId="3" fillId="0" borderId="145" xfId="213" applyFont="1" applyBorder="1" applyProtection="1">
      <protection locked="0" hidden="1"/>
    </xf>
    <xf numFmtId="0" fontId="3" fillId="0" borderId="147" xfId="213" applyFont="1" applyBorder="1" applyProtection="1">
      <protection locked="0" hidden="1"/>
    </xf>
    <xf numFmtId="0" fontId="3" fillId="0" borderId="0" xfId="213" applyFont="1" applyBorder="1" applyProtection="1">
      <protection locked="0" hidden="1"/>
    </xf>
    <xf numFmtId="0" fontId="3" fillId="0" borderId="0" xfId="213" applyFont="1" applyBorder="1" applyProtection="1">
      <protection hidden="1"/>
    </xf>
    <xf numFmtId="0" fontId="3" fillId="0" borderId="152" xfId="213" applyFont="1" applyBorder="1" applyProtection="1">
      <protection hidden="1"/>
    </xf>
    <xf numFmtId="0" fontId="3" fillId="0" borderId="152" xfId="213" applyFont="1" applyBorder="1" applyAlignment="1" applyProtection="1">
      <alignment horizontal="center"/>
      <protection hidden="1"/>
    </xf>
    <xf numFmtId="0" fontId="50" fillId="2" borderId="139" xfId="0" applyFont="1" applyFill="1" applyBorder="1" applyAlignment="1" applyProtection="1">
      <alignment horizontal="center"/>
      <protection locked="0"/>
    </xf>
    <xf numFmtId="0" fontId="13" fillId="0" borderId="0" xfId="0" applyFont="1" applyAlignment="1">
      <alignment horizontal="center"/>
    </xf>
    <xf numFmtId="0" fontId="6" fillId="13" borderId="156" xfId="216" applyFont="1" applyFill="1" applyBorder="1" applyAlignment="1" applyProtection="1">
      <alignment horizontal="left" vertical="center"/>
      <protection locked="0"/>
    </xf>
    <xf numFmtId="0" fontId="6" fillId="13" borderId="141" xfId="216" applyFont="1" applyFill="1" applyBorder="1" applyAlignment="1" applyProtection="1">
      <alignment horizontal="left" vertical="center"/>
      <protection locked="0"/>
    </xf>
    <xf numFmtId="0" fontId="10" fillId="2" borderId="152" xfId="0" applyFont="1" applyFill="1" applyBorder="1" applyAlignment="1" applyProtection="1">
      <alignment horizontal="left" vertical="top" indent="1"/>
      <protection locked="0"/>
    </xf>
    <xf numFmtId="0" fontId="3" fillId="0" borderId="0" xfId="213" applyFont="1" applyBorder="1" applyAlignment="1" applyProtection="1">
      <alignment horizontal="left" vertical="top"/>
      <protection hidden="1"/>
    </xf>
    <xf numFmtId="0" fontId="3" fillId="0" borderId="14" xfId="213" applyFont="1" applyBorder="1" applyAlignment="1" applyProtection="1">
      <alignment horizontal="left" vertical="top"/>
      <protection hidden="1"/>
    </xf>
    <xf numFmtId="0" fontId="0" fillId="0" borderId="0" xfId="0"/>
    <xf numFmtId="0" fontId="6" fillId="0" borderId="162" xfId="216" applyFont="1" applyBorder="1" applyAlignment="1" applyProtection="1">
      <alignment horizontal="left" vertical="center"/>
      <protection locked="0"/>
    </xf>
    <xf numFmtId="0" fontId="6" fillId="0" borderId="91" xfId="216" applyFont="1" applyBorder="1" applyAlignment="1" applyProtection="1">
      <alignment horizontal="left" vertical="center"/>
      <protection locked="0"/>
    </xf>
    <xf numFmtId="0" fontId="6" fillId="0" borderId="7" xfId="216" applyFont="1" applyBorder="1" applyAlignment="1" applyProtection="1">
      <alignment horizontal="left" vertical="center"/>
      <protection locked="0"/>
    </xf>
    <xf numFmtId="0" fontId="6" fillId="13" borderId="156" xfId="216" applyFont="1" applyFill="1" applyBorder="1" applyAlignment="1" applyProtection="1">
      <alignment horizontal="left" vertical="center"/>
      <protection locked="0"/>
    </xf>
    <xf numFmtId="0" fontId="6" fillId="13" borderId="141" xfId="216" applyFont="1" applyFill="1" applyBorder="1" applyAlignment="1" applyProtection="1">
      <alignment horizontal="left" vertical="center"/>
      <protection locked="0"/>
    </xf>
    <xf numFmtId="0" fontId="13" fillId="0" borderId="0" xfId="0" applyFont="1" applyBorder="1" applyAlignment="1">
      <alignment vertical="center" wrapText="1"/>
    </xf>
    <xf numFmtId="0" fontId="6" fillId="13" borderId="163" xfId="216" applyFont="1" applyFill="1" applyBorder="1" applyAlignment="1" applyProtection="1">
      <alignment horizontal="left" vertical="center"/>
      <protection locked="0"/>
    </xf>
    <xf numFmtId="0" fontId="6" fillId="13" borderId="164" xfId="216" applyFont="1" applyFill="1" applyBorder="1" applyAlignment="1" applyProtection="1">
      <alignment horizontal="left" vertical="center"/>
      <protection locked="0"/>
    </xf>
    <xf numFmtId="0" fontId="6" fillId="13" borderId="89" xfId="216" applyFont="1" applyFill="1" applyBorder="1" applyAlignment="1" applyProtection="1">
      <alignment horizontal="left" vertical="center"/>
      <protection locked="0"/>
    </xf>
    <xf numFmtId="0" fontId="6" fillId="13" borderId="12" xfId="216" applyFont="1" applyFill="1" applyBorder="1" applyAlignment="1" applyProtection="1">
      <alignment horizontal="left" vertical="center"/>
      <protection locked="0"/>
    </xf>
    <xf numFmtId="0" fontId="10" fillId="2" borderId="14" xfId="0" applyFont="1" applyFill="1" applyBorder="1" applyAlignment="1" applyProtection="1">
      <protection locked="0"/>
    </xf>
    <xf numFmtId="0" fontId="56" fillId="13" borderId="134" xfId="0" applyFont="1" applyFill="1" applyBorder="1" applyAlignment="1">
      <alignment horizontal="left"/>
    </xf>
    <xf numFmtId="0" fontId="56" fillId="13" borderId="0" xfId="0" applyFont="1" applyFill="1" applyBorder="1" applyAlignment="1">
      <alignment horizontal="left"/>
    </xf>
    <xf numFmtId="0" fontId="56" fillId="13" borderId="14" xfId="0" applyFont="1" applyFill="1" applyBorder="1" applyAlignment="1">
      <alignment horizontal="left"/>
    </xf>
    <xf numFmtId="0" fontId="13" fillId="0" borderId="0" xfId="0" applyFont="1" applyBorder="1" applyAlignment="1">
      <alignment horizontal="center" vertical="center"/>
    </xf>
    <xf numFmtId="14" fontId="0" fillId="0" borderId="139" xfId="0" applyNumberFormat="1" applyBorder="1" applyAlignment="1">
      <alignment horizontal="center" vertical="center"/>
    </xf>
    <xf numFmtId="0" fontId="3" fillId="0" borderId="0" xfId="105" applyFont="1" applyBorder="1" applyAlignment="1" applyProtection="1">
      <alignment horizontal="center" vertical="center"/>
      <protection locked="0" hidden="1"/>
    </xf>
    <xf numFmtId="0" fontId="3" fillId="0" borderId="0" xfId="213" applyFont="1" applyBorder="1" applyAlignment="1" applyProtection="1">
      <alignment horizontal="left" vertical="top"/>
      <protection hidden="1"/>
    </xf>
    <xf numFmtId="0" fontId="3" fillId="0" borderId="14" xfId="213" applyFont="1" applyBorder="1" applyAlignment="1" applyProtection="1">
      <alignment horizontal="left" vertical="top"/>
      <protection hidden="1"/>
    </xf>
    <xf numFmtId="0" fontId="3" fillId="0" borderId="0" xfId="0" applyFont="1" applyBorder="1" applyAlignment="1" applyProtection="1">
      <alignment horizontal="center"/>
      <protection locked="0"/>
    </xf>
    <xf numFmtId="0" fontId="0" fillId="0" borderId="0" xfId="0"/>
    <xf numFmtId="0" fontId="9" fillId="0" borderId="145" xfId="1" applyFont="1" applyBorder="1" applyAlignment="1" applyProtection="1">
      <alignment horizontal="center" vertical="center"/>
      <protection hidden="1"/>
    </xf>
    <xf numFmtId="0" fontId="9" fillId="0" borderId="133" xfId="1" applyFont="1" applyBorder="1" applyAlignment="1" applyProtection="1">
      <alignment horizontal="center" vertical="center"/>
      <protection hidden="1"/>
    </xf>
    <xf numFmtId="0" fontId="9" fillId="0" borderId="147" xfId="1" applyFont="1" applyBorder="1" applyAlignment="1" applyProtection="1">
      <alignment horizontal="center" vertical="center"/>
      <protection hidden="1"/>
    </xf>
    <xf numFmtId="15" fontId="9" fillId="0" borderId="11" xfId="1" quotePrefix="1" applyNumberFormat="1" applyFont="1" applyBorder="1" applyAlignment="1" applyProtection="1">
      <alignment horizontal="center" vertical="center"/>
      <protection hidden="1"/>
    </xf>
    <xf numFmtId="15" fontId="9" fillId="0" borderId="89" xfId="1" applyNumberFormat="1" applyFont="1" applyBorder="1" applyAlignment="1" applyProtection="1">
      <alignment horizontal="center" vertical="center"/>
      <protection hidden="1"/>
    </xf>
    <xf numFmtId="15" fontId="9" fillId="0" borderId="12" xfId="1" applyNumberFormat="1" applyFont="1" applyBorder="1" applyAlignment="1" applyProtection="1">
      <alignment horizontal="center" vertical="center"/>
      <protection hidden="1"/>
    </xf>
    <xf numFmtId="0" fontId="62" fillId="0" borderId="145" xfId="0" applyFont="1" applyBorder="1" applyAlignment="1">
      <alignment horizontal="center" vertical="center"/>
    </xf>
    <xf numFmtId="0" fontId="62" fillId="0" borderId="133" xfId="0" applyFont="1" applyBorder="1" applyAlignment="1">
      <alignment horizontal="center" vertical="center"/>
    </xf>
    <xf numFmtId="0" fontId="62" fillId="0" borderId="8" xfId="0" applyFont="1" applyBorder="1" applyAlignment="1">
      <alignment horizontal="center" vertical="center"/>
    </xf>
    <xf numFmtId="0" fontId="62" fillId="0" borderId="1" xfId="0" applyFont="1" applyBorder="1" applyAlignment="1">
      <alignment horizontal="center" vertical="center"/>
    </xf>
    <xf numFmtId="0" fontId="0" fillId="0" borderId="165" xfId="0" applyBorder="1" applyAlignment="1">
      <alignment horizontal="center"/>
    </xf>
    <xf numFmtId="0" fontId="0" fillId="0" borderId="166" xfId="0" applyBorder="1" applyAlignment="1">
      <alignment horizontal="center"/>
    </xf>
    <xf numFmtId="0" fontId="13" fillId="0" borderId="0" xfId="0" applyFont="1" applyBorder="1" applyAlignment="1">
      <alignment horizontal="center"/>
    </xf>
    <xf numFmtId="0" fontId="56" fillId="13" borderId="8" xfId="0" applyFont="1" applyFill="1" applyBorder="1" applyAlignment="1">
      <alignment horizontal="left"/>
    </xf>
    <xf numFmtId="0" fontId="56" fillId="13" borderId="1" xfId="0" applyFont="1" applyFill="1" applyBorder="1" applyAlignment="1">
      <alignment horizontal="left"/>
    </xf>
    <xf numFmtId="0" fontId="56" fillId="13" borderId="18" xfId="0" applyFont="1" applyFill="1" applyBorder="1" applyAlignment="1">
      <alignment horizontal="left"/>
    </xf>
    <xf numFmtId="0" fontId="56" fillId="13" borderId="134" xfId="0" applyFont="1" applyFill="1" applyBorder="1" applyAlignment="1">
      <alignment horizontal="left"/>
    </xf>
    <xf numFmtId="0" fontId="56" fillId="13" borderId="0" xfId="0" applyFont="1" applyFill="1" applyBorder="1" applyAlignment="1">
      <alignment horizontal="left"/>
    </xf>
    <xf numFmtId="0" fontId="56" fillId="13" borderId="14" xfId="0" applyFont="1" applyFill="1" applyBorder="1" applyAlignment="1">
      <alignment horizontal="left"/>
    </xf>
    <xf numFmtId="0" fontId="57" fillId="13" borderId="145" xfId="0" applyFont="1" applyFill="1" applyBorder="1" applyAlignment="1">
      <alignment horizontal="center"/>
    </xf>
    <xf numFmtId="0" fontId="57" fillId="13" borderId="133" xfId="0" applyFont="1" applyFill="1" applyBorder="1" applyAlignment="1">
      <alignment horizontal="center"/>
    </xf>
    <xf numFmtId="0" fontId="57" fillId="13" borderId="147" xfId="0" applyFont="1" applyFill="1" applyBorder="1" applyAlignment="1">
      <alignment horizontal="center"/>
    </xf>
    <xf numFmtId="0" fontId="57" fillId="13" borderId="134" xfId="0" applyFont="1" applyFill="1" applyBorder="1" applyAlignment="1">
      <alignment horizontal="center"/>
    </xf>
    <xf numFmtId="0" fontId="57" fillId="13" borderId="0" xfId="0" applyFont="1" applyFill="1" applyBorder="1" applyAlignment="1">
      <alignment horizontal="center"/>
    </xf>
    <xf numFmtId="0" fontId="57" fillId="13" borderId="14" xfId="0" applyFont="1" applyFill="1" applyBorder="1" applyAlignment="1">
      <alignment horizontal="center"/>
    </xf>
    <xf numFmtId="0" fontId="56" fillId="13" borderId="145" xfId="0" applyFont="1" applyFill="1" applyBorder="1" applyAlignment="1">
      <alignment horizontal="left"/>
    </xf>
    <xf numFmtId="0" fontId="56" fillId="13" borderId="133" xfId="0" applyFont="1" applyFill="1" applyBorder="1" applyAlignment="1">
      <alignment horizontal="left"/>
    </xf>
    <xf numFmtId="0" fontId="56" fillId="13" borderId="147" xfId="0" applyFont="1" applyFill="1" applyBorder="1" applyAlignment="1">
      <alignment horizontal="left"/>
    </xf>
    <xf numFmtId="0" fontId="56" fillId="13" borderId="134" xfId="0" applyFont="1" applyFill="1" applyBorder="1" applyAlignment="1">
      <alignment horizontal="left" wrapText="1"/>
    </xf>
    <xf numFmtId="0" fontId="56" fillId="13" borderId="0" xfId="0" applyFont="1" applyFill="1" applyBorder="1" applyAlignment="1">
      <alignment horizontal="left" wrapText="1"/>
    </xf>
    <xf numFmtId="0" fontId="56" fillId="13" borderId="14" xfId="0" applyFont="1" applyFill="1" applyBorder="1" applyAlignment="1">
      <alignment horizontal="left" wrapText="1"/>
    </xf>
    <xf numFmtId="0" fontId="56" fillId="13" borderId="134" xfId="0" applyFont="1" applyFill="1" applyBorder="1" applyAlignment="1">
      <alignment horizontal="left" vertical="center"/>
    </xf>
    <xf numFmtId="0" fontId="56" fillId="13" borderId="0" xfId="0" applyFont="1" applyFill="1" applyBorder="1" applyAlignment="1">
      <alignment horizontal="left" vertical="center"/>
    </xf>
    <xf numFmtId="0" fontId="56" fillId="13" borderId="14" xfId="0" applyFont="1" applyFill="1" applyBorder="1" applyAlignment="1">
      <alignment horizontal="left" vertical="center"/>
    </xf>
    <xf numFmtId="0" fontId="13" fillId="0" borderId="0" xfId="0" applyFont="1" applyBorder="1" applyAlignment="1">
      <alignment horizontal="center" vertical="center" shrinkToFit="1"/>
    </xf>
    <xf numFmtId="0" fontId="6" fillId="0" borderId="156" xfId="216" applyFont="1" applyBorder="1" applyAlignment="1" applyProtection="1">
      <alignment horizontal="left" vertical="center"/>
      <protection locked="0"/>
    </xf>
    <xf numFmtId="0" fontId="6" fillId="0" borderId="141" xfId="216" applyFont="1" applyBorder="1" applyAlignment="1" applyProtection="1">
      <alignment horizontal="left" vertical="center"/>
      <protection locked="0"/>
    </xf>
    <xf numFmtId="0" fontId="6" fillId="0" borderId="142" xfId="216" applyFont="1" applyBorder="1" applyAlignment="1" applyProtection="1">
      <alignment horizontal="left" vertical="center"/>
      <protection locked="0"/>
    </xf>
    <xf numFmtId="0" fontId="61" fillId="0" borderId="156" xfId="216" applyFont="1" applyBorder="1" applyAlignment="1" applyProtection="1">
      <alignment horizontal="left" vertical="center"/>
      <protection locked="0"/>
    </xf>
    <xf numFmtId="0" fontId="61" fillId="0" borderId="141" xfId="216" applyFont="1" applyBorder="1" applyAlignment="1" applyProtection="1">
      <alignment horizontal="left" vertical="center"/>
      <protection locked="0"/>
    </xf>
    <xf numFmtId="0" fontId="61" fillId="0" borderId="142" xfId="216" applyFont="1" applyBorder="1" applyAlignment="1" applyProtection="1">
      <alignment horizontal="left" vertical="center"/>
      <protection locked="0"/>
    </xf>
    <xf numFmtId="0" fontId="6" fillId="0" borderId="156" xfId="216" applyFont="1" applyBorder="1" applyAlignment="1" applyProtection="1">
      <alignment horizontal="left" vertical="center"/>
    </xf>
    <xf numFmtId="0" fontId="6" fillId="0" borderId="141" xfId="216" applyFont="1" applyBorder="1" applyAlignment="1" applyProtection="1">
      <alignment horizontal="left" vertical="center"/>
    </xf>
    <xf numFmtId="0" fontId="6" fillId="0" borderId="142" xfId="216" applyFont="1" applyBorder="1" applyAlignment="1" applyProtection="1">
      <alignment horizontal="left" vertical="center"/>
    </xf>
    <xf numFmtId="0" fontId="6" fillId="0" borderId="156" xfId="105" applyFont="1" applyBorder="1" applyAlignment="1">
      <alignment horizontal="left"/>
    </xf>
    <xf numFmtId="0" fontId="6" fillId="0" borderId="141" xfId="105" applyFont="1" applyBorder="1" applyAlignment="1">
      <alignment horizontal="left"/>
    </xf>
    <xf numFmtId="0" fontId="6" fillId="0" borderId="142" xfId="105" applyFont="1" applyBorder="1" applyAlignment="1">
      <alignment horizontal="left"/>
    </xf>
    <xf numFmtId="0" fontId="57" fillId="13" borderId="145" xfId="0" applyFont="1" applyFill="1" applyBorder="1" applyAlignment="1">
      <alignment horizontal="center" vertical="center"/>
    </xf>
    <xf numFmtId="0" fontId="57" fillId="13" borderId="133" xfId="0" applyFont="1" applyFill="1" applyBorder="1" applyAlignment="1">
      <alignment horizontal="center" vertical="center"/>
    </xf>
    <xf numFmtId="0" fontId="57" fillId="13" borderId="147" xfId="0" applyFont="1" applyFill="1" applyBorder="1" applyAlignment="1">
      <alignment horizontal="center" vertical="center"/>
    </xf>
    <xf numFmtId="0" fontId="57" fillId="13" borderId="134" xfId="0" applyFont="1" applyFill="1" applyBorder="1" applyAlignment="1">
      <alignment horizontal="center" vertical="center"/>
    </xf>
    <xf numFmtId="0" fontId="57" fillId="13" borderId="0" xfId="0" applyFont="1" applyFill="1" applyBorder="1" applyAlignment="1">
      <alignment horizontal="center" vertical="center"/>
    </xf>
    <xf numFmtId="0" fontId="57" fillId="13" borderId="14" xfId="0" applyFont="1" applyFill="1" applyBorder="1" applyAlignment="1">
      <alignment horizontal="center" vertical="center"/>
    </xf>
    <xf numFmtId="0" fontId="59" fillId="13" borderId="38" xfId="0" applyFont="1" applyFill="1" applyBorder="1" applyAlignment="1">
      <alignment horizontal="left"/>
    </xf>
    <xf numFmtId="0" fontId="59" fillId="13" borderId="139" xfId="0" applyFont="1" applyFill="1" applyBorder="1" applyAlignment="1">
      <alignment horizontal="left"/>
    </xf>
    <xf numFmtId="0" fontId="59" fillId="13" borderId="146" xfId="0" applyFont="1" applyFill="1" applyBorder="1" applyAlignment="1">
      <alignment horizontal="left"/>
    </xf>
    <xf numFmtId="0" fontId="6" fillId="13" borderId="156" xfId="216" applyFont="1" applyFill="1" applyBorder="1" applyAlignment="1" applyProtection="1">
      <alignment horizontal="left" vertical="center"/>
      <protection locked="0"/>
    </xf>
    <xf numFmtId="0" fontId="6" fillId="13" borderId="141" xfId="216" applyFont="1" applyFill="1" applyBorder="1" applyAlignment="1" applyProtection="1">
      <alignment horizontal="left" vertical="center"/>
      <protection locked="0"/>
    </xf>
    <xf numFmtId="0" fontId="6" fillId="13" borderId="163" xfId="216" applyFont="1" applyFill="1" applyBorder="1" applyAlignment="1" applyProtection="1">
      <alignment horizontal="left" vertical="center"/>
      <protection locked="0"/>
    </xf>
    <xf numFmtId="0" fontId="6" fillId="13" borderId="145" xfId="216" applyFont="1" applyFill="1" applyBorder="1" applyAlignment="1" applyProtection="1">
      <alignment horizontal="left" vertical="top" wrapText="1"/>
      <protection locked="0"/>
    </xf>
    <xf numFmtId="0" fontId="6" fillId="13" borderId="133" xfId="216" applyFont="1" applyFill="1" applyBorder="1" applyAlignment="1" applyProtection="1">
      <alignment horizontal="left" vertical="top"/>
      <protection locked="0"/>
    </xf>
    <xf numFmtId="0" fontId="6" fillId="13" borderId="147" xfId="216" applyFont="1" applyFill="1" applyBorder="1" applyAlignment="1" applyProtection="1">
      <alignment horizontal="left" vertical="top"/>
      <protection locked="0"/>
    </xf>
    <xf numFmtId="0" fontId="6" fillId="13" borderId="134" xfId="216" applyFont="1" applyFill="1" applyBorder="1" applyAlignment="1" applyProtection="1">
      <alignment horizontal="left" vertical="top"/>
      <protection locked="0"/>
    </xf>
    <xf numFmtId="0" fontId="6" fillId="13" borderId="0" xfId="216" applyFont="1" applyFill="1" applyBorder="1" applyAlignment="1" applyProtection="1">
      <alignment horizontal="left" vertical="top"/>
      <protection locked="0"/>
    </xf>
    <xf numFmtId="0" fontId="6" fillId="13" borderId="14" xfId="216" applyFont="1" applyFill="1" applyBorder="1" applyAlignment="1" applyProtection="1">
      <alignment horizontal="left" vertical="top"/>
      <protection locked="0"/>
    </xf>
    <xf numFmtId="0" fontId="6" fillId="13" borderId="158" xfId="216" applyFont="1" applyFill="1" applyBorder="1" applyAlignment="1" applyProtection="1">
      <alignment horizontal="left" vertical="top"/>
      <protection locked="0"/>
    </xf>
    <xf numFmtId="0" fontId="6" fillId="13" borderId="152" xfId="216" applyFont="1" applyFill="1" applyBorder="1" applyAlignment="1" applyProtection="1">
      <alignment horizontal="left" vertical="top"/>
      <protection locked="0"/>
    </xf>
    <xf numFmtId="0" fontId="6" fillId="13" borderId="160" xfId="216" applyFont="1" applyFill="1" applyBorder="1" applyAlignment="1" applyProtection="1">
      <alignment horizontal="left" vertical="top"/>
      <protection locked="0"/>
    </xf>
    <xf numFmtId="0" fontId="25" fillId="0" borderId="139" xfId="216" applyFont="1" applyBorder="1" applyAlignment="1" applyProtection="1">
      <alignment horizontal="center" vertical="center"/>
      <protection locked="0"/>
    </xf>
    <xf numFmtId="0" fontId="53" fillId="0" borderId="133" xfId="105" applyFont="1" applyBorder="1" applyAlignment="1">
      <alignment horizontal="center" vertical="center"/>
    </xf>
    <xf numFmtId="0" fontId="53" fillId="0" borderId="0" xfId="105" applyFont="1" applyBorder="1" applyAlignment="1">
      <alignment horizontal="center" vertical="center"/>
    </xf>
    <xf numFmtId="0" fontId="7" fillId="0" borderId="145" xfId="216" applyFont="1" applyBorder="1" applyAlignment="1" applyProtection="1">
      <alignment horizontal="right" vertical="center" wrapText="1"/>
      <protection locked="0"/>
    </xf>
    <xf numFmtId="0" fontId="7" fillId="0" borderId="8" xfId="216" applyFont="1" applyBorder="1" applyAlignment="1" applyProtection="1">
      <alignment horizontal="right" vertical="center" wrapText="1"/>
      <protection locked="0"/>
    </xf>
    <xf numFmtId="0" fontId="7" fillId="0" borderId="133" xfId="216" applyNumberFormat="1" applyFont="1" applyBorder="1" applyAlignment="1" applyProtection="1">
      <alignment horizontal="center" vertical="center" wrapText="1"/>
      <protection locked="0"/>
    </xf>
    <xf numFmtId="0" fontId="7" fillId="0" borderId="1" xfId="216" applyNumberFormat="1" applyFont="1" applyBorder="1" applyAlignment="1" applyProtection="1">
      <alignment horizontal="center" vertical="center" wrapText="1"/>
      <protection locked="0"/>
    </xf>
    <xf numFmtId="0" fontId="7" fillId="0" borderId="5" xfId="216" applyFont="1" applyBorder="1" applyAlignment="1" applyProtection="1">
      <alignment horizontal="right" vertical="center" wrapText="1"/>
      <protection locked="0"/>
    </xf>
    <xf numFmtId="0" fontId="7" fillId="0" borderId="10" xfId="216" applyFont="1" applyBorder="1" applyAlignment="1" applyProtection="1">
      <alignment horizontal="right" vertical="center" wrapText="1"/>
      <protection locked="0"/>
    </xf>
    <xf numFmtId="0" fontId="7" fillId="0" borderId="133" xfId="216" applyFont="1" applyBorder="1" applyAlignment="1" applyProtection="1">
      <alignment horizontal="right" vertical="center" wrapText="1"/>
      <protection locked="0"/>
    </xf>
    <xf numFmtId="0" fontId="7" fillId="0" borderId="1" xfId="216" applyFont="1" applyBorder="1" applyAlignment="1" applyProtection="1">
      <alignment horizontal="right" vertical="center" wrapText="1"/>
      <protection locked="0"/>
    </xf>
    <xf numFmtId="0" fontId="7" fillId="0" borderId="133" xfId="216" applyFont="1" applyBorder="1" applyAlignment="1" applyProtection="1">
      <alignment horizontal="center" vertical="center" wrapText="1"/>
      <protection locked="0"/>
    </xf>
    <xf numFmtId="0" fontId="7" fillId="0" borderId="147" xfId="216" applyFont="1" applyBorder="1" applyAlignment="1" applyProtection="1">
      <alignment horizontal="center" vertical="center" wrapText="1"/>
      <protection locked="0"/>
    </xf>
    <xf numFmtId="0" fontId="7" fillId="0" borderId="1" xfId="216" applyFont="1" applyBorder="1" applyAlignment="1" applyProtection="1">
      <alignment horizontal="center" vertical="center" wrapText="1"/>
      <protection locked="0"/>
    </xf>
    <xf numFmtId="0" fontId="7" fillId="0" borderId="18" xfId="216" applyFont="1" applyBorder="1" applyAlignment="1" applyProtection="1">
      <alignment horizontal="center" vertical="center" wrapText="1"/>
      <protection locked="0"/>
    </xf>
    <xf numFmtId="0" fontId="59" fillId="13" borderId="145" xfId="0" applyFont="1" applyFill="1" applyBorder="1" applyAlignment="1">
      <alignment horizontal="left" vertical="top" wrapText="1"/>
    </xf>
    <xf numFmtId="0" fontId="59" fillId="13" borderId="133" xfId="0" applyFont="1" applyFill="1" applyBorder="1" applyAlignment="1">
      <alignment horizontal="left" vertical="top" wrapText="1"/>
    </xf>
    <xf numFmtId="0" fontId="59" fillId="13" borderId="147" xfId="0" applyFont="1" applyFill="1" applyBorder="1" applyAlignment="1">
      <alignment horizontal="left" vertical="top" wrapText="1"/>
    </xf>
    <xf numFmtId="0" fontId="59" fillId="13" borderId="134" xfId="0" applyFont="1" applyFill="1" applyBorder="1" applyAlignment="1">
      <alignment horizontal="left" vertical="top" wrapText="1"/>
    </xf>
    <xf numFmtId="0" fontId="59" fillId="13" borderId="0" xfId="0" applyFont="1" applyFill="1" applyBorder="1" applyAlignment="1">
      <alignment horizontal="left" vertical="top" wrapText="1"/>
    </xf>
    <xf numFmtId="0" fontId="59" fillId="13" borderId="14" xfId="0" applyFont="1" applyFill="1" applyBorder="1" applyAlignment="1">
      <alignment horizontal="left" vertical="top" wrapText="1"/>
    </xf>
    <xf numFmtId="0" fontId="59" fillId="13" borderId="8" xfId="0" applyFont="1" applyFill="1" applyBorder="1" applyAlignment="1">
      <alignment horizontal="left" vertical="top" wrapText="1"/>
    </xf>
    <xf numFmtId="0" fontId="59" fillId="13" borderId="1" xfId="0" applyFont="1" applyFill="1" applyBorder="1" applyAlignment="1">
      <alignment horizontal="left" vertical="top" wrapText="1"/>
    </xf>
    <xf numFmtId="0" fontId="59" fillId="13" borderId="18" xfId="0" applyFont="1" applyFill="1" applyBorder="1" applyAlignment="1">
      <alignment horizontal="left" vertical="top" wrapText="1"/>
    </xf>
    <xf numFmtId="0" fontId="10" fillId="2" borderId="0" xfId="0" applyFont="1" applyFill="1" applyBorder="1" applyAlignment="1" applyProtection="1">
      <alignment horizontal="center"/>
      <protection locked="0"/>
    </xf>
    <xf numFmtId="0" fontId="11" fillId="2" borderId="143" xfId="0" applyFont="1" applyFill="1" applyBorder="1" applyAlignment="1" applyProtection="1">
      <alignment horizontal="center" vertical="top"/>
      <protection locked="0"/>
    </xf>
    <xf numFmtId="0" fontId="10" fillId="0" borderId="152" xfId="0" applyFont="1" applyBorder="1" applyAlignment="1" applyProtection="1">
      <alignment horizontal="center" wrapText="1"/>
      <protection locked="0"/>
    </xf>
    <xf numFmtId="0" fontId="9" fillId="2" borderId="0" xfId="0" applyFont="1" applyFill="1" applyBorder="1" applyAlignment="1" applyProtection="1">
      <alignment horizontal="left"/>
      <protection locked="0"/>
    </xf>
    <xf numFmtId="0" fontId="10" fillId="2" borderId="0" xfId="0" applyFont="1" applyFill="1" applyBorder="1" applyAlignment="1" applyProtection="1">
      <alignment horizontal="left"/>
      <protection locked="0"/>
    </xf>
    <xf numFmtId="0" fontId="10" fillId="2" borderId="14" xfId="0" applyFont="1" applyFill="1" applyBorder="1" applyAlignment="1" applyProtection="1">
      <alignment horizontal="left"/>
      <protection locked="0"/>
    </xf>
    <xf numFmtId="0" fontId="10" fillId="2" borderId="0" xfId="0" applyFont="1" applyFill="1" applyBorder="1" applyAlignment="1" applyProtection="1">
      <alignment horizontal="right"/>
      <protection locked="0"/>
    </xf>
    <xf numFmtId="186" fontId="10" fillId="2" borderId="141" xfId="0" applyNumberFormat="1" applyFont="1" applyFill="1" applyBorder="1" applyAlignment="1" applyProtection="1">
      <alignment horizontal="center"/>
      <protection locked="0"/>
    </xf>
    <xf numFmtId="193" fontId="10" fillId="2" borderId="141" xfId="0" applyNumberFormat="1" applyFont="1" applyFill="1" applyBorder="1" applyAlignment="1" applyProtection="1">
      <alignment horizontal="center"/>
      <protection locked="0"/>
    </xf>
    <xf numFmtId="0" fontId="10" fillId="0" borderId="152" xfId="0" applyFont="1" applyBorder="1" applyAlignment="1" applyProtection="1">
      <alignment horizontal="center"/>
      <protection locked="0"/>
    </xf>
    <xf numFmtId="0" fontId="9" fillId="0" borderId="110" xfId="1" applyFont="1" applyBorder="1" applyAlignment="1" applyProtection="1">
      <alignment horizontal="center" vertical="center"/>
      <protection hidden="1"/>
    </xf>
    <xf numFmtId="0" fontId="9" fillId="0" borderId="1" xfId="1" applyFont="1" applyBorder="1" applyAlignment="1" applyProtection="1">
      <alignment horizontal="center" vertical="center"/>
      <protection hidden="1"/>
    </xf>
    <xf numFmtId="0" fontId="9" fillId="0" borderId="9" xfId="1" applyFont="1" applyBorder="1" applyAlignment="1" applyProtection="1">
      <alignment horizontal="center" vertical="center"/>
      <protection hidden="1"/>
    </xf>
    <xf numFmtId="0" fontId="10" fillId="2" borderId="152" xfId="0" applyFont="1" applyFill="1" applyBorder="1" applyAlignment="1" applyProtection="1">
      <alignment horizontal="left" indent="1"/>
      <protection locked="0"/>
    </xf>
    <xf numFmtId="0" fontId="19" fillId="0" borderId="133" xfId="0" applyFont="1" applyBorder="1" applyAlignment="1">
      <alignment horizontal="center" vertical="center"/>
    </xf>
    <xf numFmtId="0" fontId="19" fillId="0" borderId="150" xfId="0" applyFont="1" applyBorder="1" applyAlignment="1">
      <alignment horizontal="center" vertical="center"/>
    </xf>
    <xf numFmtId="0" fontId="19" fillId="0" borderId="1" xfId="0" applyFont="1" applyBorder="1" applyAlignment="1">
      <alignment horizontal="center" vertical="center"/>
    </xf>
    <xf numFmtId="0" fontId="19" fillId="0" borderId="9" xfId="0" applyFont="1" applyBorder="1" applyAlignment="1">
      <alignment horizontal="center" vertical="center"/>
    </xf>
    <xf numFmtId="49" fontId="9" fillId="0" borderId="6" xfId="1" applyNumberFormat="1" applyFont="1" applyBorder="1" applyAlignment="1" applyProtection="1">
      <alignment horizontal="center" vertical="center"/>
      <protection hidden="1"/>
    </xf>
    <xf numFmtId="49" fontId="9" fillId="0" borderId="91" xfId="1" applyNumberFormat="1" applyFont="1" applyBorder="1" applyAlignment="1" applyProtection="1">
      <alignment horizontal="center" vertical="center"/>
      <protection hidden="1"/>
    </xf>
    <xf numFmtId="49" fontId="9" fillId="0" borderId="7" xfId="1" applyNumberFormat="1" applyFont="1" applyBorder="1" applyAlignment="1" applyProtection="1">
      <alignment horizontal="center" vertical="center"/>
      <protection hidden="1"/>
    </xf>
    <xf numFmtId="49" fontId="9" fillId="0" borderId="128" xfId="1" applyNumberFormat="1" applyFont="1" applyBorder="1" applyAlignment="1" applyProtection="1">
      <alignment horizontal="center" vertical="center"/>
      <protection hidden="1"/>
    </xf>
    <xf numFmtId="0" fontId="10" fillId="2" borderId="141" xfId="0" applyFont="1" applyFill="1" applyBorder="1" applyAlignment="1" applyProtection="1">
      <alignment horizontal="center"/>
      <protection locked="0"/>
    </xf>
    <xf numFmtId="0" fontId="10" fillId="2" borderId="152" xfId="0" applyFont="1" applyFill="1" applyBorder="1" applyAlignment="1" applyProtection="1">
      <alignment horizontal="left"/>
      <protection locked="0"/>
    </xf>
    <xf numFmtId="165" fontId="10" fillId="2" borderId="152" xfId="0" applyNumberFormat="1" applyFont="1" applyFill="1" applyBorder="1" applyAlignment="1" applyProtection="1">
      <alignment horizontal="left"/>
      <protection locked="0"/>
    </xf>
    <xf numFmtId="166" fontId="10" fillId="2" borderId="141" xfId="0" applyNumberFormat="1" applyFont="1" applyFill="1" applyBorder="1" applyAlignment="1" applyProtection="1">
      <alignment horizontal="left"/>
      <protection locked="0"/>
    </xf>
    <xf numFmtId="193" fontId="10" fillId="2" borderId="152" xfId="0" applyNumberFormat="1" applyFont="1" applyFill="1" applyBorder="1" applyAlignment="1" applyProtection="1">
      <alignment horizontal="center"/>
      <protection locked="0"/>
    </xf>
    <xf numFmtId="0" fontId="60" fillId="2" borderId="0" xfId="0" applyFont="1" applyFill="1" applyBorder="1" applyAlignment="1" applyProtection="1">
      <alignment horizontal="center" vertical="top"/>
      <protection locked="0"/>
    </xf>
    <xf numFmtId="0" fontId="9" fillId="2" borderId="0" xfId="0" applyFont="1" applyFill="1" applyBorder="1" applyAlignment="1" applyProtection="1">
      <alignment horizontal="center" vertical="top"/>
      <protection locked="0"/>
    </xf>
    <xf numFmtId="0" fontId="9" fillId="2" borderId="152" xfId="0" applyFont="1" applyFill="1" applyBorder="1" applyAlignment="1" applyProtection="1">
      <alignment horizontal="center" vertical="top"/>
      <protection locked="0"/>
    </xf>
    <xf numFmtId="0" fontId="10" fillId="2" borderId="152" xfId="0" applyFont="1" applyFill="1" applyBorder="1" applyAlignment="1" applyProtection="1">
      <alignment horizontal="center"/>
      <protection locked="0"/>
    </xf>
    <xf numFmtId="0" fontId="10" fillId="2" borderId="152" xfId="0" quotePrefix="1" applyFont="1" applyFill="1" applyBorder="1" applyAlignment="1" applyProtection="1">
      <alignment horizontal="left" indent="1"/>
      <protection locked="0"/>
    </xf>
    <xf numFmtId="165" fontId="10" fillId="2" borderId="15" xfId="0" applyNumberFormat="1" applyFont="1" applyFill="1" applyBorder="1" applyAlignment="1" applyProtection="1">
      <alignment horizontal="left"/>
      <protection locked="0"/>
    </xf>
    <xf numFmtId="166" fontId="10" fillId="2" borderId="16" xfId="0" applyNumberFormat="1" applyFont="1" applyFill="1" applyBorder="1" applyAlignment="1" applyProtection="1">
      <alignment horizontal="left"/>
      <protection locked="0"/>
    </xf>
    <xf numFmtId="0" fontId="10" fillId="2" borderId="15" xfId="0" applyFont="1" applyFill="1" applyBorder="1" applyAlignment="1" applyProtection="1">
      <alignment horizontal="left"/>
      <protection locked="0"/>
    </xf>
    <xf numFmtId="0" fontId="11" fillId="2" borderId="0" xfId="0" applyFont="1" applyFill="1" applyAlignment="1" applyProtection="1">
      <alignment horizontal="center"/>
      <protection locked="0"/>
    </xf>
    <xf numFmtId="186" fontId="10" fillId="2" borderId="15" xfId="0" applyNumberFormat="1" applyFont="1" applyFill="1" applyBorder="1" applyAlignment="1" applyProtection="1">
      <alignment horizontal="center"/>
      <protection locked="0"/>
    </xf>
    <xf numFmtId="0" fontId="11" fillId="2" borderId="17" xfId="0" applyFont="1" applyFill="1" applyBorder="1" applyAlignment="1" applyProtection="1">
      <alignment horizontal="center"/>
      <protection locked="0"/>
    </xf>
    <xf numFmtId="0" fontId="9" fillId="2" borderId="15" xfId="0" applyFont="1" applyFill="1" applyBorder="1" applyAlignment="1" applyProtection="1">
      <alignment horizontal="center" vertical="top"/>
      <protection locked="0"/>
    </xf>
    <xf numFmtId="0" fontId="9" fillId="2" borderId="17" xfId="0" applyFont="1" applyFill="1" applyBorder="1" applyAlignment="1" applyProtection="1">
      <alignment horizontal="center" vertical="top"/>
      <protection locked="0"/>
    </xf>
    <xf numFmtId="0" fontId="10" fillId="2" borderId="15" xfId="0" applyFont="1" applyFill="1" applyBorder="1" applyAlignment="1" applyProtection="1">
      <alignment horizontal="center"/>
      <protection locked="0"/>
    </xf>
    <xf numFmtId="0" fontId="11" fillId="2" borderId="17" xfId="0" applyFont="1" applyFill="1" applyBorder="1" applyAlignment="1" applyProtection="1">
      <alignment horizontal="center" vertical="top"/>
      <protection locked="0"/>
    </xf>
    <xf numFmtId="0" fontId="9" fillId="2" borderId="0" xfId="0" applyFont="1" applyFill="1" applyAlignment="1" applyProtection="1">
      <alignment horizontal="left"/>
      <protection locked="0"/>
    </xf>
    <xf numFmtId="0" fontId="10" fillId="0" borderId="15" xfId="0" applyFont="1" applyBorder="1" applyAlignment="1" applyProtection="1">
      <alignment horizontal="center" wrapText="1"/>
      <protection locked="0"/>
    </xf>
    <xf numFmtId="0" fontId="10" fillId="0" borderId="15" xfId="0" applyFont="1" applyBorder="1" applyAlignment="1" applyProtection="1">
      <alignment horizontal="center"/>
      <protection locked="0"/>
    </xf>
    <xf numFmtId="0" fontId="10" fillId="0" borderId="0" xfId="0" applyFont="1" applyAlignment="1" applyProtection="1">
      <alignment horizontal="center" wrapText="1"/>
      <protection locked="0"/>
    </xf>
    <xf numFmtId="0" fontId="10" fillId="2" borderId="0" xfId="0" applyFont="1" applyFill="1" applyAlignment="1" applyProtection="1">
      <alignment horizontal="left"/>
      <protection locked="0"/>
    </xf>
    <xf numFmtId="0" fontId="10" fillId="2" borderId="16" xfId="0" applyFont="1" applyFill="1" applyBorder="1" applyAlignment="1" applyProtection="1">
      <alignment horizontal="left"/>
      <protection locked="0"/>
    </xf>
    <xf numFmtId="0" fontId="10" fillId="2" borderId="17" xfId="0" applyFont="1" applyFill="1" applyBorder="1" applyAlignment="1" applyProtection="1">
      <alignment horizontal="left"/>
      <protection locked="0"/>
    </xf>
    <xf numFmtId="0" fontId="3" fillId="0" borderId="17" xfId="0" applyFont="1" applyBorder="1" applyProtection="1">
      <protection locked="0"/>
    </xf>
    <xf numFmtId="0" fontId="6" fillId="0" borderId="3" xfId="0" applyFont="1" applyBorder="1" applyAlignment="1">
      <alignment horizontal="center" vertical="center"/>
    </xf>
    <xf numFmtId="0" fontId="6" fillId="0" borderId="1" xfId="0" applyFont="1" applyBorder="1" applyAlignment="1">
      <alignment horizontal="center" vertical="center"/>
    </xf>
    <xf numFmtId="0" fontId="10" fillId="2" borderId="0" xfId="0" applyFont="1" applyFill="1" applyAlignment="1" applyProtection="1">
      <alignment horizontal="center"/>
      <protection locked="0"/>
    </xf>
    <xf numFmtId="0" fontId="10" fillId="2" borderId="0" xfId="0" applyFont="1" applyFill="1" applyAlignment="1" applyProtection="1">
      <alignment horizontal="left" indent="1"/>
      <protection locked="0"/>
    </xf>
    <xf numFmtId="0" fontId="3" fillId="0" borderId="0" xfId="0" applyFont="1" applyAlignment="1" applyProtection="1">
      <alignment horizontal="left" indent="1"/>
      <protection locked="0"/>
    </xf>
    <xf numFmtId="0" fontId="10" fillId="2" borderId="16" xfId="0" applyFont="1" applyFill="1" applyBorder="1" applyAlignment="1" applyProtection="1">
      <alignment horizontal="left" indent="1"/>
      <protection locked="0"/>
    </xf>
    <xf numFmtId="0" fontId="3" fillId="0" borderId="16" xfId="0" applyFont="1" applyBorder="1" applyAlignment="1" applyProtection="1">
      <alignment horizontal="left" indent="1"/>
      <protection locked="0"/>
    </xf>
    <xf numFmtId="0" fontId="10" fillId="2" borderId="16" xfId="0" applyFont="1" applyFill="1" applyBorder="1" applyAlignment="1" applyProtection="1">
      <alignment horizontal="left" wrapText="1"/>
      <protection locked="0"/>
    </xf>
    <xf numFmtId="186" fontId="10" fillId="2" borderId="16" xfId="0" applyNumberFormat="1" applyFont="1" applyFill="1" applyBorder="1" applyAlignment="1" applyProtection="1">
      <alignment horizontal="left" indent="1"/>
      <protection locked="0"/>
    </xf>
    <xf numFmtId="186" fontId="3" fillId="0" borderId="16" xfId="0" applyNumberFormat="1" applyFont="1" applyBorder="1" applyAlignment="1" applyProtection="1">
      <alignment horizontal="left" indent="1"/>
      <protection locked="0"/>
    </xf>
    <xf numFmtId="0" fontId="10" fillId="2" borderId="15" xfId="0" applyFont="1" applyFill="1" applyBorder="1" applyAlignment="1" applyProtection="1">
      <alignment horizontal="center" vertical="top"/>
      <protection locked="0"/>
    </xf>
    <xf numFmtId="0" fontId="10" fillId="2" borderId="0" xfId="0" applyFont="1" applyFill="1" applyAlignment="1" applyProtection="1">
      <alignment horizontal="center" vertical="top" wrapText="1"/>
      <protection locked="0"/>
    </xf>
    <xf numFmtId="0" fontId="10" fillId="2" borderId="15" xfId="0" applyFont="1" applyFill="1" applyBorder="1" applyAlignment="1" applyProtection="1">
      <alignment horizontal="center" vertical="top" wrapText="1"/>
      <protection locked="0"/>
    </xf>
    <xf numFmtId="0" fontId="10" fillId="2" borderId="0" xfId="0" applyFont="1" applyFill="1" applyAlignment="1" applyProtection="1">
      <alignment horizontal="left" vertical="top" wrapText="1"/>
      <protection locked="0"/>
    </xf>
    <xf numFmtId="0" fontId="46" fillId="2" borderId="17" xfId="0" applyFont="1" applyFill="1" applyBorder="1" applyAlignment="1" applyProtection="1">
      <alignment horizontal="center"/>
      <protection locked="0"/>
    </xf>
    <xf numFmtId="0" fontId="9" fillId="2" borderId="152" xfId="0" applyFont="1" applyFill="1" applyBorder="1" applyAlignment="1" applyProtection="1">
      <alignment horizontal="center"/>
      <protection locked="0"/>
    </xf>
    <xf numFmtId="0" fontId="51" fillId="2" borderId="152" xfId="0" applyFont="1" applyFill="1" applyBorder="1" applyAlignment="1" applyProtection="1">
      <alignment horizontal="center" vertical="top"/>
      <protection locked="0"/>
    </xf>
    <xf numFmtId="0" fontId="10" fillId="2" borderId="152" xfId="0" applyFont="1" applyFill="1" applyBorder="1" applyAlignment="1" applyProtection="1">
      <alignment horizontal="left" vertical="top" indent="1"/>
      <protection locked="0"/>
    </xf>
    <xf numFmtId="0" fontId="10" fillId="2" borderId="152" xfId="0" applyFont="1" applyFill="1" applyBorder="1" applyAlignment="1" applyProtection="1">
      <alignment horizontal="center" vertical="top"/>
      <protection locked="0"/>
    </xf>
    <xf numFmtId="0" fontId="10" fillId="2" borderId="134" xfId="0" applyFont="1" applyFill="1" applyBorder="1" applyAlignment="1" applyProtection="1">
      <alignment horizontal="center" vertical="top" wrapText="1"/>
      <protection locked="0"/>
    </xf>
    <xf numFmtId="0" fontId="10" fillId="2" borderId="0" xfId="0" applyFont="1" applyFill="1" applyBorder="1" applyAlignment="1" applyProtection="1">
      <alignment horizontal="center" vertical="top" wrapText="1"/>
      <protection locked="0"/>
    </xf>
    <xf numFmtId="0" fontId="10" fillId="2" borderId="14" xfId="0" applyFont="1" applyFill="1" applyBorder="1" applyAlignment="1" applyProtection="1">
      <alignment horizontal="center" vertical="top" wrapText="1"/>
      <protection locked="0"/>
    </xf>
    <xf numFmtId="0" fontId="10" fillId="0" borderId="0" xfId="0" applyFont="1" applyBorder="1" applyAlignment="1" applyProtection="1">
      <alignment horizontal="center" wrapText="1"/>
      <protection locked="0"/>
    </xf>
    <xf numFmtId="0" fontId="10" fillId="2" borderId="152" xfId="0" applyFont="1" applyFill="1" applyBorder="1" applyAlignment="1" applyProtection="1">
      <alignment horizontal="left" vertical="top"/>
      <protection locked="0"/>
    </xf>
    <xf numFmtId="0" fontId="22" fillId="0" borderId="143" xfId="105" applyFont="1" applyBorder="1" applyAlignment="1" applyProtection="1">
      <alignment horizontal="center" vertical="center"/>
      <protection locked="0" hidden="1"/>
    </xf>
    <xf numFmtId="0" fontId="9" fillId="0" borderId="0" xfId="0" applyFont="1" applyBorder="1" applyAlignment="1" applyProtection="1">
      <alignment horizontal="center" vertical="top"/>
      <protection locked="0"/>
    </xf>
    <xf numFmtId="0" fontId="3" fillId="0" borderId="143" xfId="105" applyFont="1" applyBorder="1" applyAlignment="1" applyProtection="1">
      <alignment horizontal="center" vertical="center"/>
      <protection locked="0" hidden="1"/>
    </xf>
    <xf numFmtId="0" fontId="56" fillId="0" borderId="0" xfId="0" applyFont="1" applyBorder="1" applyAlignment="1">
      <alignment horizontal="center"/>
    </xf>
    <xf numFmtId="0" fontId="3" fillId="0" borderId="0" xfId="105" applyFont="1" applyBorder="1" applyAlignment="1" applyProtection="1">
      <alignment horizontal="center" vertical="center"/>
      <protection locked="0" hidden="1"/>
    </xf>
    <xf numFmtId="0" fontId="3" fillId="0" borderId="0" xfId="105" applyFont="1" applyBorder="1" applyAlignment="1" applyProtection="1">
      <alignment horizontal="left" vertical="center"/>
      <protection locked="0" hidden="1"/>
    </xf>
    <xf numFmtId="0" fontId="6" fillId="0" borderId="0" xfId="105" applyFont="1" applyBorder="1" applyAlignment="1" applyProtection="1">
      <alignment horizontal="center" vertical="center"/>
      <protection locked="0"/>
    </xf>
    <xf numFmtId="0" fontId="56" fillId="13" borderId="145" xfId="0" applyFont="1" applyFill="1" applyBorder="1" applyAlignment="1">
      <alignment horizontal="left" vertical="top" wrapText="1"/>
    </xf>
    <xf numFmtId="0" fontId="20" fillId="0" borderId="41" xfId="213" applyFont="1" applyBorder="1" applyAlignment="1" applyProtection="1">
      <alignment horizontal="center" vertical="center"/>
      <protection locked="0"/>
    </xf>
    <xf numFmtId="0" fontId="20" fillId="0" borderId="10" xfId="213" applyFont="1" applyBorder="1" applyAlignment="1" applyProtection="1">
      <alignment horizontal="center" vertical="center"/>
      <protection locked="0"/>
    </xf>
    <xf numFmtId="0" fontId="20" fillId="0" borderId="107" xfId="213" applyFont="1" applyBorder="1" applyAlignment="1" applyProtection="1">
      <alignment horizontal="center" vertical="center"/>
      <protection locked="0"/>
    </xf>
    <xf numFmtId="0" fontId="20" fillId="0" borderId="67" xfId="213" applyFont="1" applyBorder="1" applyAlignment="1" applyProtection="1">
      <alignment horizontal="center" vertical="center"/>
      <protection locked="0"/>
    </xf>
    <xf numFmtId="0" fontId="20" fillId="0" borderId="68" xfId="213" applyFont="1" applyBorder="1" applyAlignment="1" applyProtection="1">
      <alignment horizontal="center" vertical="center"/>
      <protection locked="0"/>
    </xf>
    <xf numFmtId="0" fontId="20" fillId="0" borderId="108" xfId="213" applyFont="1" applyBorder="1" applyAlignment="1" applyProtection="1">
      <alignment horizontal="center" vertical="center"/>
      <protection locked="0"/>
    </xf>
    <xf numFmtId="0" fontId="20" fillId="0" borderId="0" xfId="213" applyFont="1" applyAlignment="1" applyProtection="1">
      <alignment horizontal="center" vertical="center"/>
      <protection locked="0"/>
    </xf>
    <xf numFmtId="0" fontId="20" fillId="0" borderId="69" xfId="213" applyFont="1" applyBorder="1" applyAlignment="1" applyProtection="1">
      <alignment horizontal="center" vertical="center"/>
      <protection locked="0"/>
    </xf>
    <xf numFmtId="0" fontId="20" fillId="0" borderId="109" xfId="213" applyFont="1" applyBorder="1" applyAlignment="1" applyProtection="1">
      <alignment horizontal="center" vertical="center"/>
      <protection locked="0"/>
    </xf>
    <xf numFmtId="0" fontId="20" fillId="0" borderId="42" xfId="213" applyFont="1" applyBorder="1" applyAlignment="1" applyProtection="1">
      <alignment horizontal="center" vertical="center"/>
      <protection locked="0"/>
    </xf>
    <xf numFmtId="0" fontId="20" fillId="0" borderId="70" xfId="213" applyFont="1" applyBorder="1" applyAlignment="1" applyProtection="1">
      <alignment horizontal="center" vertical="center"/>
      <protection locked="0"/>
    </xf>
    <xf numFmtId="0" fontId="20" fillId="0" borderId="15" xfId="213" applyFont="1" applyBorder="1" applyAlignment="1" applyProtection="1">
      <alignment horizontal="center"/>
      <protection locked="0"/>
    </xf>
    <xf numFmtId="0" fontId="21" fillId="0" borderId="15" xfId="213" applyFont="1" applyBorder="1" applyAlignment="1" applyProtection="1">
      <alignment horizontal="center"/>
      <protection locked="0"/>
    </xf>
    <xf numFmtId="0" fontId="3" fillId="0" borderId="13" xfId="213" applyFont="1" applyBorder="1" applyAlignment="1" applyProtection="1">
      <alignment horizontal="left" vertical="center" wrapText="1"/>
      <protection locked="0" hidden="1"/>
    </xf>
    <xf numFmtId="0" fontId="3" fillId="0" borderId="24" xfId="213" applyFont="1" applyBorder="1" applyAlignment="1" applyProtection="1">
      <alignment horizontal="left" vertical="center"/>
      <protection locked="0" hidden="1"/>
    </xf>
    <xf numFmtId="0" fontId="3" fillId="0" borderId="13" xfId="213" applyFont="1" applyBorder="1" applyAlignment="1" applyProtection="1">
      <alignment horizontal="left" vertical="center"/>
      <protection locked="0" hidden="1"/>
    </xf>
    <xf numFmtId="0" fontId="3" fillId="0" borderId="0" xfId="213" applyFont="1" applyAlignment="1" applyProtection="1">
      <alignment vertical="center" wrapText="1"/>
      <protection locked="0" hidden="1"/>
    </xf>
    <xf numFmtId="0" fontId="3" fillId="0" borderId="24" xfId="213" applyFont="1" applyBorder="1" applyAlignment="1" applyProtection="1">
      <alignment vertical="center" wrapText="1"/>
      <protection locked="0" hidden="1"/>
    </xf>
    <xf numFmtId="0" fontId="6" fillId="0" borderId="111" xfId="213" applyFont="1" applyBorder="1" applyAlignment="1" applyProtection="1">
      <alignment horizontal="center"/>
      <protection locked="0" hidden="1"/>
    </xf>
    <xf numFmtId="0" fontId="6" fillId="0" borderId="112" xfId="213" applyFont="1" applyBorder="1" applyAlignment="1" applyProtection="1">
      <alignment horizontal="center"/>
      <protection locked="0" hidden="1"/>
    </xf>
    <xf numFmtId="0" fontId="6" fillId="0" borderId="113" xfId="213" applyFont="1" applyBorder="1" applyAlignment="1" applyProtection="1">
      <alignment horizontal="center"/>
      <protection locked="0" hidden="1"/>
    </xf>
    <xf numFmtId="0" fontId="21" fillId="0" borderId="66" xfId="213" applyFont="1" applyBorder="1" applyAlignment="1" applyProtection="1">
      <alignment horizontal="center" vertical="center"/>
      <protection locked="0"/>
    </xf>
    <xf numFmtId="0" fontId="21" fillId="0" borderId="67" xfId="213" applyFont="1" applyBorder="1" applyAlignment="1" applyProtection="1">
      <alignment horizontal="center" vertical="center"/>
      <protection locked="0"/>
    </xf>
    <xf numFmtId="0" fontId="21" fillId="0" borderId="71" xfId="213" applyFont="1" applyBorder="1" applyAlignment="1" applyProtection="1">
      <alignment horizontal="center" vertical="center"/>
      <protection locked="0"/>
    </xf>
    <xf numFmtId="0" fontId="21" fillId="0" borderId="13" xfId="213" applyFont="1" applyBorder="1" applyAlignment="1" applyProtection="1">
      <alignment horizontal="center" vertical="center"/>
      <protection locked="0"/>
    </xf>
    <xf numFmtId="0" fontId="21" fillId="0" borderId="0" xfId="213" applyFont="1" applyAlignment="1" applyProtection="1">
      <alignment horizontal="center" vertical="center"/>
      <protection locked="0"/>
    </xf>
    <xf numFmtId="0" fontId="21" fillId="0" borderId="14" xfId="213" applyFont="1" applyBorder="1" applyAlignment="1" applyProtection="1">
      <alignment horizontal="center" vertical="center"/>
      <protection locked="0"/>
    </xf>
    <xf numFmtId="0" fontId="21" fillId="0" borderId="8" xfId="213" applyFont="1" applyBorder="1" applyAlignment="1" applyProtection="1">
      <alignment horizontal="center" vertical="center"/>
      <protection locked="0"/>
    </xf>
    <xf numFmtId="0" fontId="21" fillId="0" borderId="1" xfId="213" applyFont="1" applyBorder="1" applyAlignment="1" applyProtection="1">
      <alignment horizontal="center" vertical="center"/>
      <protection locked="0"/>
    </xf>
    <xf numFmtId="0" fontId="21" fillId="0" borderId="18" xfId="213" applyFont="1" applyBorder="1" applyAlignment="1" applyProtection="1">
      <alignment horizontal="center" vertical="center"/>
      <protection locked="0"/>
    </xf>
    <xf numFmtId="0" fontId="3" fillId="0" borderId="21" xfId="213" applyFont="1" applyBorder="1" applyProtection="1">
      <protection locked="0"/>
    </xf>
    <xf numFmtId="0" fontId="20" fillId="0" borderId="34" xfId="213" applyFont="1" applyBorder="1" applyAlignment="1" applyProtection="1">
      <alignment horizontal="center"/>
      <protection locked="0"/>
    </xf>
    <xf numFmtId="0" fontId="20" fillId="0" borderId="33" xfId="213" applyFont="1" applyBorder="1" applyAlignment="1" applyProtection="1">
      <alignment horizontal="center"/>
      <protection locked="0"/>
    </xf>
    <xf numFmtId="0" fontId="20" fillId="0" borderId="39" xfId="213" applyFont="1" applyBorder="1" applyAlignment="1" applyProtection="1">
      <alignment horizontal="center"/>
      <protection locked="0"/>
    </xf>
    <xf numFmtId="0" fontId="20" fillId="0" borderId="30" xfId="213" applyFont="1" applyBorder="1" applyProtection="1">
      <protection locked="0"/>
    </xf>
    <xf numFmtId="0" fontId="3" fillId="0" borderId="22" xfId="213" applyFont="1" applyBorder="1" applyProtection="1">
      <protection locked="0"/>
    </xf>
    <xf numFmtId="0" fontId="20" fillId="0" borderId="116" xfId="213" applyFont="1" applyBorder="1" applyAlignment="1" applyProtection="1">
      <alignment horizontal="center"/>
      <protection locked="0"/>
    </xf>
    <xf numFmtId="0" fontId="20" fillId="0" borderId="117" xfId="213" applyFont="1" applyBorder="1" applyAlignment="1" applyProtection="1">
      <alignment horizontal="center"/>
      <protection locked="0"/>
    </xf>
    <xf numFmtId="0" fontId="3" fillId="0" borderId="67" xfId="213" applyFont="1" applyBorder="1" applyAlignment="1" applyProtection="1">
      <alignment vertical="top"/>
      <protection locked="0" hidden="1"/>
    </xf>
    <xf numFmtId="0" fontId="3" fillId="0" borderId="71" xfId="213" applyFont="1" applyBorder="1" applyAlignment="1" applyProtection="1">
      <alignment vertical="top"/>
      <protection locked="0" hidden="1"/>
    </xf>
    <xf numFmtId="184" fontId="20" fillId="0" borderId="11" xfId="213" applyNumberFormat="1" applyFont="1" applyBorder="1" applyAlignment="1" applyProtection="1">
      <alignment horizontal="center" vertical="center" wrapText="1"/>
      <protection locked="0"/>
    </xf>
    <xf numFmtId="184" fontId="20" fillId="0" borderId="89" xfId="213" applyNumberFormat="1" applyFont="1" applyBorder="1" applyAlignment="1" applyProtection="1">
      <alignment horizontal="center" vertical="center" wrapText="1"/>
      <protection locked="0"/>
    </xf>
    <xf numFmtId="184" fontId="20" fillId="0" borderId="12" xfId="213" applyNumberFormat="1" applyFont="1" applyBorder="1" applyAlignment="1" applyProtection="1">
      <alignment horizontal="center" vertical="center" wrapText="1"/>
      <protection locked="0"/>
    </xf>
    <xf numFmtId="0" fontId="6" fillId="2" borderId="6" xfId="213" applyFont="1" applyFill="1" applyBorder="1" applyAlignment="1" applyProtection="1">
      <alignment horizontal="center" vertical="center"/>
      <protection locked="0" hidden="1"/>
    </xf>
    <xf numFmtId="0" fontId="6" fillId="2" borderId="91" xfId="213" applyFont="1" applyFill="1" applyBorder="1" applyAlignment="1" applyProtection="1">
      <alignment horizontal="center" vertical="center"/>
      <protection locked="0" hidden="1"/>
    </xf>
    <xf numFmtId="0" fontId="6" fillId="2" borderId="7" xfId="213" applyFont="1" applyFill="1" applyBorder="1" applyAlignment="1" applyProtection="1">
      <alignment horizontal="center" vertical="center"/>
      <protection locked="0" hidden="1"/>
    </xf>
    <xf numFmtId="4" fontId="6" fillId="0" borderId="40" xfId="213" applyNumberFormat="1" applyFont="1" applyBorder="1" applyAlignment="1" applyProtection="1">
      <alignment horizontal="center" vertical="center"/>
      <protection locked="0"/>
    </xf>
    <xf numFmtId="4" fontId="6" fillId="0" borderId="16" xfId="213" applyNumberFormat="1" applyFont="1" applyBorder="1" applyAlignment="1" applyProtection="1">
      <alignment horizontal="center" vertical="center"/>
      <protection locked="0"/>
    </xf>
    <xf numFmtId="4" fontId="6" fillId="0" borderId="25" xfId="213" applyNumberFormat="1" applyFont="1" applyBorder="1" applyAlignment="1" applyProtection="1">
      <alignment horizontal="center" vertical="center"/>
      <protection locked="0"/>
    </xf>
    <xf numFmtId="0" fontId="20" fillId="0" borderId="27" xfId="213" applyFont="1" applyBorder="1" applyAlignment="1" applyProtection="1">
      <alignment horizontal="center"/>
      <protection locked="0"/>
    </xf>
    <xf numFmtId="0" fontId="20" fillId="0" borderId="55" xfId="213" applyFont="1" applyBorder="1" applyAlignment="1" applyProtection="1">
      <alignment horizontal="center"/>
      <protection locked="0"/>
    </xf>
    <xf numFmtId="0" fontId="20" fillId="0" borderId="58" xfId="213" applyFont="1" applyBorder="1" applyAlignment="1" applyProtection="1">
      <alignment horizontal="center"/>
      <protection locked="0"/>
    </xf>
    <xf numFmtId="0" fontId="20" fillId="0" borderId="59" xfId="213" applyFont="1" applyBorder="1" applyAlignment="1" applyProtection="1">
      <alignment horizontal="center"/>
      <protection locked="0"/>
    </xf>
    <xf numFmtId="0" fontId="20" fillId="0" borderId="64" xfId="213" applyFont="1" applyBorder="1" applyAlignment="1" applyProtection="1">
      <alignment horizontal="center"/>
      <protection locked="0"/>
    </xf>
    <xf numFmtId="0" fontId="20" fillId="0" borderId="65" xfId="213" applyFont="1" applyBorder="1" applyAlignment="1" applyProtection="1">
      <alignment horizontal="center"/>
      <protection locked="0"/>
    </xf>
    <xf numFmtId="0" fontId="20" fillId="0" borderId="48" xfId="213" applyFont="1" applyBorder="1" applyProtection="1">
      <protection locked="0"/>
    </xf>
    <xf numFmtId="0" fontId="20" fillId="0" borderId="10" xfId="213" applyFont="1" applyBorder="1" applyAlignment="1" applyProtection="1">
      <alignment horizontal="center"/>
      <protection locked="0"/>
    </xf>
    <xf numFmtId="0" fontId="20" fillId="0" borderId="118" xfId="213" applyFont="1" applyBorder="1" applyProtection="1">
      <protection locked="0"/>
    </xf>
    <xf numFmtId="0" fontId="20" fillId="0" borderId="119" xfId="213" applyFont="1" applyBorder="1" applyProtection="1">
      <protection locked="0"/>
    </xf>
    <xf numFmtId="0" fontId="20" fillId="0" borderId="30" xfId="213" applyFont="1" applyBorder="1" applyAlignment="1" applyProtection="1">
      <alignment horizontal="center"/>
      <protection locked="0"/>
    </xf>
    <xf numFmtId="0" fontId="20" fillId="0" borderId="72" xfId="213" applyFont="1" applyBorder="1" applyAlignment="1" applyProtection="1">
      <alignment horizontal="center"/>
      <protection locked="0"/>
    </xf>
    <xf numFmtId="0" fontId="20" fillId="0" borderId="15" xfId="213" applyFont="1" applyBorder="1" applyProtection="1">
      <protection locked="0"/>
    </xf>
    <xf numFmtId="0" fontId="21" fillId="0" borderId="15" xfId="213" applyFont="1" applyBorder="1" applyProtection="1">
      <protection locked="0"/>
    </xf>
    <xf numFmtId="0" fontId="21" fillId="0" borderId="23" xfId="213" applyFont="1" applyBorder="1" applyProtection="1">
      <protection locked="0"/>
    </xf>
    <xf numFmtId="0" fontId="20" fillId="0" borderId="43" xfId="213" applyFont="1" applyBorder="1" applyAlignment="1" applyProtection="1">
      <alignment horizontal="center"/>
      <protection locked="0"/>
    </xf>
    <xf numFmtId="0" fontId="20" fillId="0" borderId="44" xfId="213" applyFont="1" applyBorder="1" applyAlignment="1" applyProtection="1">
      <alignment horizontal="center"/>
      <protection locked="0"/>
    </xf>
    <xf numFmtId="0" fontId="20" fillId="0" borderId="45" xfId="213" applyFont="1" applyBorder="1" applyProtection="1">
      <protection locked="0"/>
    </xf>
    <xf numFmtId="0" fontId="20" fillId="0" borderId="46" xfId="213" applyFont="1" applyBorder="1" applyProtection="1">
      <protection locked="0"/>
    </xf>
    <xf numFmtId="0" fontId="20" fillId="0" borderId="44" xfId="213" applyFont="1" applyBorder="1" applyProtection="1">
      <protection locked="0"/>
    </xf>
    <xf numFmtId="0" fontId="20" fillId="0" borderId="47" xfId="213" applyFont="1" applyBorder="1" applyProtection="1">
      <protection locked="0"/>
    </xf>
    <xf numFmtId="0" fontId="21" fillId="0" borderId="23" xfId="213" applyFont="1" applyBorder="1" applyAlignment="1" applyProtection="1">
      <alignment horizontal="center"/>
      <protection locked="0"/>
    </xf>
    <xf numFmtId="0" fontId="20" fillId="0" borderId="0" xfId="213" applyFont="1" applyProtection="1">
      <protection locked="0"/>
    </xf>
    <xf numFmtId="0" fontId="21" fillId="0" borderId="0" xfId="213" applyFont="1" applyProtection="1">
      <protection locked="0"/>
    </xf>
    <xf numFmtId="0" fontId="21" fillId="0" borderId="14" xfId="213" applyFont="1" applyBorder="1" applyProtection="1">
      <protection locked="0"/>
    </xf>
    <xf numFmtId="0" fontId="25" fillId="0" borderId="2" xfId="213" applyFont="1" applyBorder="1" applyAlignment="1" applyProtection="1">
      <alignment horizontal="center" vertical="center" wrapText="1"/>
      <protection locked="0"/>
    </xf>
    <xf numFmtId="0" fontId="25" fillId="0" borderId="3" xfId="213" applyFont="1" applyBorder="1" applyAlignment="1" applyProtection="1">
      <alignment horizontal="center" vertical="center"/>
      <protection locked="0"/>
    </xf>
    <xf numFmtId="0" fontId="25" fillId="0" borderId="8" xfId="213" applyFont="1" applyBorder="1" applyAlignment="1" applyProtection="1">
      <alignment horizontal="center" vertical="center"/>
      <protection locked="0"/>
    </xf>
    <xf numFmtId="0" fontId="25" fillId="0" borderId="1" xfId="213" applyFont="1" applyBorder="1" applyAlignment="1" applyProtection="1">
      <alignment horizontal="center" vertical="center"/>
      <protection locked="0"/>
    </xf>
    <xf numFmtId="0" fontId="5" fillId="0" borderId="19" xfId="213" applyFont="1" applyBorder="1" applyAlignment="1" applyProtection="1">
      <alignment horizontal="center" vertical="center"/>
      <protection locked="0" hidden="1"/>
    </xf>
    <xf numFmtId="0" fontId="5" fillId="0" borderId="3" xfId="213" applyFont="1" applyBorder="1" applyAlignment="1" applyProtection="1">
      <alignment horizontal="center" vertical="center"/>
      <protection locked="0" hidden="1"/>
    </xf>
    <xf numFmtId="0" fontId="5" fillId="0" borderId="20" xfId="213" applyFont="1" applyBorder="1" applyAlignment="1" applyProtection="1">
      <alignment horizontal="center" vertical="center"/>
      <protection locked="0" hidden="1"/>
    </xf>
    <xf numFmtId="0" fontId="5" fillId="0" borderId="110" xfId="213" applyFont="1" applyBorder="1" applyAlignment="1" applyProtection="1">
      <alignment horizontal="center" vertical="center"/>
      <protection locked="0" hidden="1"/>
    </xf>
    <xf numFmtId="0" fontId="5" fillId="0" borderId="1" xfId="213" applyFont="1" applyBorder="1" applyAlignment="1" applyProtection="1">
      <alignment horizontal="center" vertical="center"/>
      <protection locked="0" hidden="1"/>
    </xf>
    <xf numFmtId="0" fontId="5" fillId="0" borderId="18" xfId="213" applyFont="1" applyBorder="1" applyAlignment="1" applyProtection="1">
      <alignment horizontal="center" vertical="center"/>
      <protection locked="0" hidden="1"/>
    </xf>
    <xf numFmtId="0" fontId="20" fillId="0" borderId="37" xfId="213" applyFont="1" applyBorder="1" applyAlignment="1" applyProtection="1">
      <alignment horizontal="center" vertical="center"/>
      <protection locked="0"/>
    </xf>
    <xf numFmtId="0" fontId="20" fillId="0" borderId="5" xfId="213" applyFont="1" applyBorder="1" applyAlignment="1" applyProtection="1">
      <alignment horizontal="center" vertical="center"/>
      <protection locked="0"/>
    </xf>
    <xf numFmtId="0" fontId="20" fillId="0" borderId="38" xfId="213" applyFont="1" applyBorder="1" applyAlignment="1" applyProtection="1">
      <alignment horizontal="center" vertical="center"/>
      <protection locked="0"/>
    </xf>
    <xf numFmtId="0" fontId="20" fillId="0" borderId="39" xfId="213" applyFont="1" applyBorder="1" applyAlignment="1" applyProtection="1">
      <alignment horizontal="center" vertical="center"/>
      <protection locked="0"/>
    </xf>
    <xf numFmtId="0" fontId="20" fillId="0" borderId="16" xfId="213" applyFont="1" applyBorder="1" applyAlignment="1" applyProtection="1">
      <alignment horizontal="center"/>
      <protection locked="0"/>
    </xf>
    <xf numFmtId="0" fontId="20" fillId="0" borderId="25" xfId="213" applyFont="1" applyBorder="1" applyAlignment="1" applyProtection="1">
      <alignment horizontal="center"/>
      <protection locked="0"/>
    </xf>
    <xf numFmtId="0" fontId="20" fillId="0" borderId="16" xfId="213" applyFont="1" applyBorder="1" applyAlignment="1" applyProtection="1">
      <alignment horizontal="left"/>
      <protection locked="0"/>
    </xf>
    <xf numFmtId="0" fontId="21" fillId="0" borderId="16" xfId="213" applyFont="1" applyBorder="1" applyAlignment="1" applyProtection="1">
      <alignment horizontal="left"/>
      <protection locked="0"/>
    </xf>
    <xf numFmtId="0" fontId="21" fillId="0" borderId="25" xfId="213" applyFont="1" applyBorder="1" applyAlignment="1" applyProtection="1">
      <alignment horizontal="left"/>
      <protection locked="0"/>
    </xf>
    <xf numFmtId="0" fontId="6" fillId="0" borderId="26" xfId="213" applyFont="1" applyBorder="1" applyAlignment="1" applyProtection="1">
      <alignment horizontal="center" vertical="center"/>
      <protection locked="0" hidden="1"/>
    </xf>
    <xf numFmtId="0" fontId="6" fillId="0" borderId="27" xfId="213" applyFont="1" applyBorder="1" applyAlignment="1" applyProtection="1">
      <alignment horizontal="center" vertical="center"/>
      <protection locked="0" hidden="1"/>
    </xf>
    <xf numFmtId="0" fontId="6" fillId="0" borderId="28" xfId="213" applyFont="1" applyBorder="1" applyAlignment="1" applyProtection="1">
      <alignment horizontal="center" vertical="center"/>
      <protection locked="0" hidden="1"/>
    </xf>
    <xf numFmtId="0" fontId="3" fillId="0" borderId="114" xfId="213" applyFont="1" applyBorder="1" applyAlignment="1" applyProtection="1">
      <alignment horizontal="center" vertical="center"/>
      <protection locked="0" hidden="1"/>
    </xf>
    <xf numFmtId="0" fontId="3" fillId="0" borderId="34" xfId="213" applyFont="1" applyBorder="1" applyAlignment="1" applyProtection="1">
      <alignment horizontal="center" vertical="center"/>
      <protection locked="0" hidden="1"/>
    </xf>
    <xf numFmtId="0" fontId="3" fillId="0" borderId="33" xfId="213" applyFont="1" applyBorder="1" applyAlignment="1" applyProtection="1">
      <alignment horizontal="center" vertical="center"/>
      <protection locked="0" hidden="1"/>
    </xf>
    <xf numFmtId="0" fontId="3" fillId="0" borderId="115" xfId="213" applyFont="1" applyBorder="1" applyAlignment="1" applyProtection="1">
      <alignment horizontal="center" vertical="center"/>
      <protection locked="0" hidden="1"/>
    </xf>
    <xf numFmtId="0" fontId="20" fillId="0" borderId="25" xfId="213" applyFont="1" applyBorder="1" applyAlignment="1" applyProtection="1">
      <alignment horizontal="left"/>
      <protection locked="0"/>
    </xf>
    <xf numFmtId="0" fontId="21" fillId="0" borderId="16" xfId="213" applyFont="1" applyBorder="1" applyAlignment="1" applyProtection="1">
      <alignment horizontal="center"/>
      <protection locked="0"/>
    </xf>
    <xf numFmtId="0" fontId="20" fillId="0" borderId="17" xfId="213" applyFont="1" applyBorder="1" applyProtection="1">
      <protection locked="0"/>
    </xf>
    <xf numFmtId="0" fontId="21" fillId="0" borderId="17" xfId="213" applyFont="1" applyBorder="1" applyProtection="1">
      <protection locked="0"/>
    </xf>
    <xf numFmtId="0" fontId="19" fillId="0" borderId="19" xfId="213" applyFont="1" applyBorder="1" applyAlignment="1" applyProtection="1">
      <alignment horizontal="center" vertical="center"/>
      <protection hidden="1"/>
    </xf>
    <xf numFmtId="0" fontId="19" fillId="0" borderId="3" xfId="213" applyFont="1" applyBorder="1" applyAlignment="1" applyProtection="1">
      <alignment horizontal="center" vertical="center"/>
      <protection hidden="1"/>
    </xf>
    <xf numFmtId="0" fontId="19" fillId="0" borderId="4" xfId="213" applyFont="1" applyBorder="1" applyAlignment="1" applyProtection="1">
      <alignment horizontal="center" vertical="center"/>
      <protection hidden="1"/>
    </xf>
    <xf numFmtId="0" fontId="19" fillId="0" borderId="110" xfId="213" applyFont="1" applyBorder="1" applyAlignment="1" applyProtection="1">
      <alignment horizontal="center" vertical="center"/>
      <protection hidden="1"/>
    </xf>
    <xf numFmtId="0" fontId="19" fillId="0" borderId="1" xfId="213" applyFont="1" applyBorder="1" applyAlignment="1" applyProtection="1">
      <alignment horizontal="center" vertical="center"/>
      <protection hidden="1"/>
    </xf>
    <xf numFmtId="0" fontId="19" fillId="0" borderId="9" xfId="213" applyFont="1" applyBorder="1" applyAlignment="1" applyProtection="1">
      <alignment horizontal="center" vertical="center"/>
      <protection hidden="1"/>
    </xf>
    <xf numFmtId="0" fontId="6" fillId="0" borderId="21" xfId="213" applyFont="1" applyBorder="1" applyAlignment="1" applyProtection="1">
      <alignment horizontal="center"/>
      <protection locked="0"/>
    </xf>
    <xf numFmtId="0" fontId="6" fillId="5" borderId="13" xfId="213" applyFont="1" applyFill="1" applyBorder="1" applyProtection="1">
      <protection locked="0" hidden="1"/>
    </xf>
    <xf numFmtId="0" fontId="6" fillId="5" borderId="0" xfId="213" applyFont="1" applyFill="1" applyProtection="1">
      <protection locked="0" hidden="1"/>
    </xf>
    <xf numFmtId="0" fontId="6" fillId="5" borderId="14" xfId="213" applyFont="1" applyFill="1" applyBorder="1" applyProtection="1">
      <protection locked="0" hidden="1"/>
    </xf>
    <xf numFmtId="0" fontId="20" fillId="0" borderId="21" xfId="213" applyNumberFormat="1" applyFont="1" applyBorder="1" applyAlignment="1" applyProtection="1">
      <alignment horizontal="center"/>
      <protection locked="0"/>
    </xf>
    <xf numFmtId="0" fontId="20" fillId="0" borderId="22" xfId="213" applyNumberFormat="1" applyFont="1" applyBorder="1" applyAlignment="1" applyProtection="1">
      <alignment horizontal="center"/>
      <protection locked="0"/>
    </xf>
    <xf numFmtId="0" fontId="6" fillId="0" borderId="15" xfId="213" applyNumberFormat="1" applyFont="1" applyBorder="1" applyAlignment="1" applyProtection="1">
      <alignment horizontal="center"/>
      <protection locked="0"/>
    </xf>
    <xf numFmtId="0" fontId="6" fillId="0" borderId="15" xfId="213" applyFont="1" applyBorder="1" applyAlignment="1" applyProtection="1">
      <alignment horizontal="center"/>
      <protection locked="0"/>
    </xf>
    <xf numFmtId="188" fontId="20" fillId="0" borderId="21" xfId="213" applyNumberFormat="1" applyFont="1" applyBorder="1" applyAlignment="1" applyProtection="1">
      <alignment horizontal="center"/>
      <protection locked="0"/>
    </xf>
    <xf numFmtId="188" fontId="20" fillId="0" borderId="22" xfId="213" applyNumberFormat="1" applyFont="1" applyBorder="1" applyAlignment="1" applyProtection="1">
      <alignment horizontal="center"/>
      <protection locked="0"/>
    </xf>
    <xf numFmtId="0" fontId="20" fillId="0" borderId="17" xfId="213" applyFont="1" applyBorder="1" applyAlignment="1" applyProtection="1">
      <alignment horizontal="center"/>
      <protection locked="0"/>
    </xf>
    <xf numFmtId="0" fontId="20" fillId="0" borderId="84" xfId="213" applyFont="1" applyBorder="1" applyAlignment="1" applyProtection="1">
      <alignment horizontal="center"/>
      <protection locked="0"/>
    </xf>
    <xf numFmtId="0" fontId="20" fillId="0" borderId="16" xfId="213" applyFont="1" applyBorder="1" applyAlignment="1" applyProtection="1">
      <alignment horizontal="center" wrapText="1"/>
      <protection locked="0"/>
    </xf>
    <xf numFmtId="0" fontId="20" fillId="0" borderId="25" xfId="213" applyFont="1" applyBorder="1" applyAlignment="1" applyProtection="1">
      <alignment horizontal="center" wrapText="1"/>
      <protection locked="0"/>
    </xf>
    <xf numFmtId="0" fontId="20" fillId="0" borderId="23" xfId="213" applyFont="1" applyBorder="1" applyAlignment="1" applyProtection="1">
      <alignment horizontal="center"/>
      <protection locked="0"/>
    </xf>
    <xf numFmtId="0" fontId="6" fillId="0" borderId="2" xfId="1" applyFont="1" applyBorder="1" applyAlignment="1" applyProtection="1">
      <alignment horizontal="center"/>
      <protection hidden="1"/>
    </xf>
    <xf numFmtId="0" fontId="6" fillId="0" borderId="8" xfId="1" applyFont="1" applyBorder="1" applyAlignment="1" applyProtection="1">
      <alignment horizontal="center"/>
      <protection hidden="1"/>
    </xf>
    <xf numFmtId="0" fontId="6" fillId="0" borderId="3" xfId="1" applyFont="1" applyBorder="1" applyAlignment="1" applyProtection="1">
      <alignment horizontal="center" vertical="center"/>
      <protection hidden="1"/>
    </xf>
    <xf numFmtId="0" fontId="6" fillId="0" borderId="4" xfId="1" applyFont="1" applyBorder="1" applyAlignment="1" applyProtection="1">
      <alignment horizontal="center" vertical="center"/>
      <protection hidden="1"/>
    </xf>
    <xf numFmtId="0" fontId="6" fillId="0" borderId="1" xfId="1" applyFont="1" applyBorder="1" applyAlignment="1" applyProtection="1">
      <alignment horizontal="center" vertical="center"/>
      <protection hidden="1"/>
    </xf>
    <xf numFmtId="0" fontId="6" fillId="0" borderId="9" xfId="1" applyFont="1" applyBorder="1" applyAlignment="1" applyProtection="1">
      <alignment horizontal="center" vertical="center"/>
      <protection hidden="1"/>
    </xf>
    <xf numFmtId="49" fontId="9" fillId="0" borderId="5" xfId="1" applyNumberFormat="1" applyFont="1" applyBorder="1" applyAlignment="1" applyProtection="1">
      <alignment horizontal="center" vertical="center"/>
      <protection hidden="1"/>
    </xf>
    <xf numFmtId="0" fontId="9" fillId="0" borderId="5" xfId="1" applyFont="1" applyBorder="1" applyAlignment="1" applyProtection="1">
      <alignment horizontal="center" vertical="center"/>
      <protection hidden="1"/>
    </xf>
    <xf numFmtId="0" fontId="9" fillId="0" borderId="73" xfId="1" applyFont="1" applyBorder="1" applyAlignment="1" applyProtection="1">
      <alignment horizontal="center" vertical="center"/>
      <protection hidden="1"/>
    </xf>
    <xf numFmtId="0" fontId="9" fillId="0" borderId="10" xfId="1" applyFont="1" applyBorder="1" applyAlignment="1" applyProtection="1">
      <alignment horizontal="center" vertical="center"/>
      <protection hidden="1"/>
    </xf>
    <xf numFmtId="15" fontId="9" fillId="0" borderId="10" xfId="1" applyNumberFormat="1" applyFont="1" applyBorder="1" applyAlignment="1" applyProtection="1">
      <alignment horizontal="center" vertical="center"/>
      <protection hidden="1"/>
    </xf>
    <xf numFmtId="15" fontId="9" fillId="0" borderId="74" xfId="1" applyNumberFormat="1" applyFont="1" applyBorder="1" applyAlignment="1" applyProtection="1">
      <alignment horizontal="center" vertical="center"/>
      <protection hidden="1"/>
    </xf>
    <xf numFmtId="173" fontId="9" fillId="0" borderId="15" xfId="105" applyNumberFormat="1" applyFont="1" applyBorder="1" applyAlignment="1" applyProtection="1">
      <alignment horizontal="center" vertical="center"/>
      <protection locked="0"/>
    </xf>
    <xf numFmtId="173" fontId="3" fillId="0" borderId="15" xfId="105" applyNumberFormat="1" applyFont="1" applyBorder="1" applyAlignment="1" applyProtection="1">
      <alignment horizontal="center"/>
      <protection locked="0"/>
    </xf>
    <xf numFmtId="173" fontId="3" fillId="0" borderId="23" xfId="105" applyNumberFormat="1" applyFont="1" applyBorder="1" applyAlignment="1" applyProtection="1">
      <alignment horizontal="center"/>
      <protection locked="0"/>
    </xf>
    <xf numFmtId="0" fontId="9" fillId="0" borderId="15" xfId="105" applyFont="1" applyBorder="1" applyAlignment="1" applyProtection="1">
      <alignment horizontal="left" vertical="center"/>
      <protection locked="0"/>
    </xf>
    <xf numFmtId="0" fontId="9" fillId="0" borderId="23" xfId="105" applyFont="1" applyBorder="1" applyAlignment="1" applyProtection="1">
      <alignment horizontal="left" vertical="center"/>
      <protection locked="0"/>
    </xf>
    <xf numFmtId="0" fontId="9" fillId="0" borderId="13" xfId="105" applyFont="1" applyBorder="1" applyAlignment="1" applyProtection="1">
      <alignment horizontal="center" vertical="center"/>
      <protection locked="0" hidden="1"/>
    </xf>
    <xf numFmtId="0" fontId="9" fillId="0" borderId="0" xfId="105" applyFont="1" applyAlignment="1" applyProtection="1">
      <alignment horizontal="center" vertical="center"/>
      <protection locked="0" hidden="1"/>
    </xf>
    <xf numFmtId="0" fontId="9" fillId="0" borderId="14" xfId="105" applyFont="1" applyBorder="1" applyAlignment="1" applyProtection="1">
      <alignment horizontal="center" vertical="center"/>
      <protection locked="0" hidden="1"/>
    </xf>
    <xf numFmtId="0" fontId="9" fillId="0" borderId="15" xfId="105" applyFont="1" applyBorder="1" applyAlignment="1" applyProtection="1">
      <alignment horizontal="center" vertical="center"/>
      <protection locked="0" hidden="1"/>
    </xf>
    <xf numFmtId="172" fontId="9" fillId="0" borderId="15" xfId="105" applyNumberFormat="1" applyFont="1" applyBorder="1" applyAlignment="1" applyProtection="1">
      <alignment horizontal="center" vertical="center"/>
      <protection locked="0" hidden="1"/>
    </xf>
    <xf numFmtId="172" fontId="9" fillId="0" borderId="23" xfId="105" applyNumberFormat="1" applyFont="1" applyBorder="1" applyAlignment="1" applyProtection="1">
      <alignment horizontal="center" vertical="center"/>
      <protection locked="0" hidden="1"/>
    </xf>
    <xf numFmtId="22" fontId="9" fillId="0" borderId="15" xfId="105" applyNumberFormat="1" applyFont="1" applyBorder="1" applyAlignment="1" applyProtection="1">
      <alignment horizontal="center" vertical="center"/>
      <protection locked="0"/>
    </xf>
    <xf numFmtId="0" fontId="9" fillId="0" borderId="15" xfId="105" applyFont="1" applyBorder="1" applyAlignment="1" applyProtection="1">
      <alignment horizontal="center" vertical="center"/>
      <protection locked="0"/>
    </xf>
    <xf numFmtId="22" fontId="3" fillId="0" borderId="16" xfId="105" applyNumberFormat="1" applyFont="1" applyBorder="1" applyAlignment="1" applyProtection="1">
      <alignment horizontal="center"/>
      <protection locked="0"/>
    </xf>
    <xf numFmtId="0" fontId="3" fillId="0" borderId="16" xfId="105" applyFont="1" applyBorder="1" applyAlignment="1" applyProtection="1">
      <alignment horizontal="center"/>
      <protection locked="0"/>
    </xf>
    <xf numFmtId="0" fontId="3" fillId="0" borderId="25" xfId="105" applyFont="1" applyBorder="1" applyAlignment="1" applyProtection="1">
      <alignment horizontal="center"/>
      <protection locked="0"/>
    </xf>
    <xf numFmtId="0" fontId="3" fillId="0" borderId="15" xfId="105" applyFont="1" applyBorder="1" applyAlignment="1" applyProtection="1">
      <alignment horizontal="center"/>
      <protection locked="0"/>
    </xf>
    <xf numFmtId="0" fontId="9" fillId="0" borderId="15" xfId="105" applyFont="1" applyBorder="1" applyAlignment="1" applyProtection="1">
      <alignment horizontal="center"/>
      <protection locked="0"/>
    </xf>
    <xf numFmtId="0" fontId="3" fillId="5" borderId="39" xfId="105" applyFont="1" applyFill="1" applyBorder="1" applyAlignment="1" applyProtection="1">
      <alignment horizontal="center"/>
      <protection locked="0" hidden="1"/>
    </xf>
    <xf numFmtId="0" fontId="3" fillId="5" borderId="76" xfId="105" applyFont="1" applyFill="1" applyBorder="1" applyAlignment="1" applyProtection="1">
      <alignment horizontal="center" vertical="center"/>
      <protection locked="0" hidden="1"/>
    </xf>
    <xf numFmtId="0" fontId="3" fillId="5" borderId="17" xfId="105" applyFont="1" applyFill="1" applyBorder="1" applyAlignment="1" applyProtection="1">
      <alignment horizontal="center" vertical="center"/>
      <protection locked="0" hidden="1"/>
    </xf>
    <xf numFmtId="0" fontId="3" fillId="5" borderId="77" xfId="105" applyFont="1" applyFill="1" applyBorder="1" applyAlignment="1" applyProtection="1">
      <alignment horizontal="center" vertical="center"/>
      <protection locked="0" hidden="1"/>
    </xf>
    <xf numFmtId="0" fontId="3" fillId="5" borderId="80" xfId="105" applyFont="1" applyFill="1" applyBorder="1" applyAlignment="1" applyProtection="1">
      <alignment horizontal="center" vertical="center"/>
      <protection locked="0" hidden="1"/>
    </xf>
    <xf numFmtId="0" fontId="3" fillId="5" borderId="0" xfId="105" applyFont="1" applyFill="1" applyAlignment="1" applyProtection="1">
      <alignment horizontal="center" vertical="center"/>
      <protection locked="0" hidden="1"/>
    </xf>
    <xf numFmtId="0" fontId="3" fillId="5" borderId="24" xfId="105" applyFont="1" applyFill="1" applyBorder="1" applyAlignment="1" applyProtection="1">
      <alignment horizontal="center" vertical="center"/>
      <protection locked="0" hidden="1"/>
    </xf>
    <xf numFmtId="0" fontId="3" fillId="5" borderId="81" xfId="105" applyFont="1" applyFill="1" applyBorder="1" applyAlignment="1" applyProtection="1">
      <alignment horizontal="center" vertical="center"/>
      <protection locked="0" hidden="1"/>
    </xf>
    <xf numFmtId="0" fontId="3" fillId="5" borderId="15" xfId="105" applyFont="1" applyFill="1" applyBorder="1" applyAlignment="1" applyProtection="1">
      <alignment horizontal="center" vertical="center"/>
      <protection locked="0" hidden="1"/>
    </xf>
    <xf numFmtId="0" fontId="3" fillId="5" borderId="82" xfId="105" applyFont="1" applyFill="1" applyBorder="1" applyAlignment="1" applyProtection="1">
      <alignment horizontal="center" vertical="center"/>
      <protection locked="0" hidden="1"/>
    </xf>
    <xf numFmtId="0" fontId="3" fillId="5" borderId="39" xfId="105" applyFont="1" applyFill="1" applyBorder="1" applyAlignment="1" applyProtection="1">
      <alignment horizontal="center" vertical="center" wrapText="1"/>
      <protection locked="0" hidden="1"/>
    </xf>
    <xf numFmtId="0" fontId="3" fillId="5" borderId="78" xfId="105" applyFont="1" applyFill="1" applyBorder="1" applyAlignment="1" applyProtection="1">
      <alignment horizontal="center" vertical="center" wrapText="1"/>
      <protection locked="0" hidden="1"/>
    </xf>
    <xf numFmtId="0" fontId="9" fillId="5" borderId="38" xfId="105" applyFont="1" applyFill="1" applyBorder="1" applyAlignment="1" applyProtection="1">
      <alignment horizontal="center" vertical="center"/>
      <protection locked="0"/>
    </xf>
    <xf numFmtId="0" fontId="9" fillId="5" borderId="39" xfId="105" applyFont="1" applyFill="1" applyBorder="1" applyAlignment="1" applyProtection="1">
      <alignment horizontal="center" vertical="center"/>
      <protection locked="0"/>
    </xf>
    <xf numFmtId="0" fontId="9" fillId="5" borderId="38" xfId="105" applyFont="1" applyFill="1" applyBorder="1" applyAlignment="1" applyProtection="1">
      <alignment horizontal="center" vertical="center"/>
      <protection locked="0" hidden="1"/>
    </xf>
    <xf numFmtId="0" fontId="9" fillId="5" borderId="39" xfId="105" applyFont="1" applyFill="1" applyBorder="1" applyAlignment="1" applyProtection="1">
      <alignment horizontal="center" vertical="center"/>
      <protection locked="0" hidden="1"/>
    </xf>
    <xf numFmtId="0" fontId="3" fillId="5" borderId="39" xfId="105" applyFont="1" applyFill="1" applyBorder="1" applyAlignment="1" applyProtection="1">
      <alignment horizontal="center"/>
      <protection locked="0"/>
    </xf>
    <xf numFmtId="0" fontId="3" fillId="5" borderId="75" xfId="105" applyFont="1" applyFill="1" applyBorder="1" applyAlignment="1" applyProtection="1">
      <alignment horizontal="center" wrapText="1"/>
      <protection locked="0" hidden="1"/>
    </xf>
    <xf numFmtId="0" fontId="3" fillId="5" borderId="79" xfId="105" applyFont="1" applyFill="1" applyBorder="1" applyAlignment="1" applyProtection="1">
      <alignment horizontal="center" wrapText="1"/>
      <protection locked="0" hidden="1"/>
    </xf>
    <xf numFmtId="0" fontId="3" fillId="0" borderId="39" xfId="105" applyFont="1" applyBorder="1" applyAlignment="1" applyProtection="1">
      <alignment horizontal="center"/>
      <protection locked="0"/>
    </xf>
    <xf numFmtId="0" fontId="3" fillId="0" borderId="78" xfId="105" applyFont="1" applyBorder="1" applyAlignment="1" applyProtection="1">
      <alignment horizontal="center"/>
      <protection locked="0"/>
    </xf>
    <xf numFmtId="20" fontId="3" fillId="0" borderId="88" xfId="105" applyNumberFormat="1" applyFont="1" applyBorder="1" applyAlignment="1" applyProtection="1">
      <alignment horizontal="center" vertical="center"/>
      <protection locked="0" hidden="1"/>
    </xf>
    <xf numFmtId="20" fontId="3" fillId="0" borderId="87" xfId="105" applyNumberFormat="1" applyFont="1" applyBorder="1" applyAlignment="1" applyProtection="1">
      <alignment horizontal="center" vertical="center"/>
      <protection locked="0" hidden="1"/>
    </xf>
    <xf numFmtId="0" fontId="3" fillId="0" borderId="40" xfId="105" applyFont="1" applyBorder="1" applyAlignment="1" applyProtection="1">
      <alignment horizontal="center"/>
      <protection locked="0"/>
    </xf>
    <xf numFmtId="0" fontId="3" fillId="0" borderId="87" xfId="105" applyFont="1" applyBorder="1" applyAlignment="1" applyProtection="1">
      <alignment horizontal="center"/>
      <protection locked="0"/>
    </xf>
    <xf numFmtId="20" fontId="3" fillId="0" borderId="38" xfId="105" applyNumberFormat="1" applyFont="1" applyBorder="1" applyAlignment="1" applyProtection="1">
      <alignment horizontal="center" vertical="center"/>
      <protection locked="0" hidden="1"/>
    </xf>
    <xf numFmtId="0" fontId="3" fillId="0" borderId="39" xfId="105" applyFont="1" applyBorder="1" applyAlignment="1" applyProtection="1">
      <alignment horizontal="center" vertical="center"/>
      <protection locked="0" hidden="1"/>
    </xf>
    <xf numFmtId="172" fontId="3" fillId="0" borderId="15" xfId="105" applyNumberFormat="1" applyFont="1" applyBorder="1" applyProtection="1">
      <protection locked="0" hidden="1"/>
    </xf>
    <xf numFmtId="0" fontId="3" fillId="0" borderId="15" xfId="105" applyFont="1" applyBorder="1" applyAlignment="1" applyProtection="1">
      <alignment horizontal="center"/>
      <protection locked="0" hidden="1"/>
    </xf>
    <xf numFmtId="0" fontId="3" fillId="0" borderId="23" xfId="105" applyFont="1" applyBorder="1" applyAlignment="1" applyProtection="1">
      <alignment horizontal="center"/>
      <protection locked="0" hidden="1"/>
    </xf>
    <xf numFmtId="0" fontId="3" fillId="0" borderId="83" xfId="105" applyFont="1" applyBorder="1" applyAlignment="1" applyProtection="1">
      <alignment horizontal="center"/>
      <protection locked="0" hidden="1"/>
    </xf>
    <xf numFmtId="0" fontId="3" fillId="0" borderId="17" xfId="105" applyFont="1" applyBorder="1" applyAlignment="1" applyProtection="1">
      <alignment horizontal="center"/>
      <protection locked="0" hidden="1"/>
    </xf>
    <xf numFmtId="0" fontId="3" fillId="0" borderId="84" xfId="105" applyFont="1" applyBorder="1" applyAlignment="1" applyProtection="1">
      <alignment horizontal="center"/>
      <protection locked="0" hidden="1"/>
    </xf>
    <xf numFmtId="0" fontId="20" fillId="0" borderId="122" xfId="213" applyFont="1" applyBorder="1" applyAlignment="1" applyProtection="1">
      <alignment horizontal="center"/>
      <protection locked="0"/>
    </xf>
    <xf numFmtId="0" fontId="20" fillId="0" borderId="123" xfId="213" applyFont="1" applyBorder="1" applyAlignment="1" applyProtection="1">
      <alignment horizontal="center"/>
      <protection locked="0"/>
    </xf>
    <xf numFmtId="0" fontId="3" fillId="0" borderId="126" xfId="213" applyFont="1" applyBorder="1" applyAlignment="1" applyProtection="1">
      <alignment horizontal="left" vertical="center" wrapText="1"/>
      <protection locked="0" hidden="1"/>
    </xf>
    <xf numFmtId="0" fontId="3" fillId="0" borderId="124" xfId="213" applyFont="1" applyBorder="1" applyAlignment="1" applyProtection="1">
      <alignment horizontal="left" vertical="center"/>
      <protection locked="0" hidden="1"/>
    </xf>
    <xf numFmtId="0" fontId="3" fillId="0" borderId="125" xfId="213" applyFont="1" applyBorder="1" applyAlignment="1" applyProtection="1">
      <alignment vertical="center" wrapText="1"/>
      <protection locked="0" hidden="1"/>
    </xf>
    <xf numFmtId="0" fontId="3" fillId="0" borderId="124" xfId="213" applyFont="1" applyBorder="1" applyAlignment="1" applyProtection="1">
      <alignment vertical="center" wrapText="1"/>
      <protection locked="0" hidden="1"/>
    </xf>
    <xf numFmtId="0" fontId="6" fillId="0" borderId="3" xfId="213" applyFont="1" applyBorder="1" applyAlignment="1" applyProtection="1">
      <alignment horizontal="center" vertical="center"/>
      <protection hidden="1"/>
    </xf>
    <xf numFmtId="0" fontId="6" fillId="0" borderId="3" xfId="105" applyFont="1" applyBorder="1" applyAlignment="1">
      <alignment horizontal="center" vertical="center"/>
    </xf>
    <xf numFmtId="0" fontId="6" fillId="0" borderId="4" xfId="105" applyFont="1" applyBorder="1" applyAlignment="1">
      <alignment horizontal="center" vertical="center"/>
    </xf>
    <xf numFmtId="0" fontId="6" fillId="0" borderId="1" xfId="105" applyFont="1" applyBorder="1" applyAlignment="1">
      <alignment horizontal="center" vertical="center"/>
    </xf>
    <xf numFmtId="0" fontId="6" fillId="0" borderId="9" xfId="105" applyFont="1" applyBorder="1" applyAlignment="1">
      <alignment horizontal="center" vertical="center"/>
    </xf>
    <xf numFmtId="172" fontId="20" fillId="0" borderId="21" xfId="213" applyNumberFormat="1" applyFont="1" applyBorder="1" applyAlignment="1" applyProtection="1">
      <alignment horizontal="center"/>
      <protection locked="0"/>
    </xf>
    <xf numFmtId="172" fontId="20" fillId="0" borderId="22" xfId="213" applyNumberFormat="1" applyFont="1" applyBorder="1" applyAlignment="1" applyProtection="1">
      <alignment horizontal="center"/>
      <protection locked="0"/>
    </xf>
    <xf numFmtId="0" fontId="6" fillId="0" borderId="145" xfId="213" applyFont="1" applyBorder="1" applyAlignment="1" applyProtection="1">
      <alignment horizontal="left" vertical="top" wrapText="1"/>
      <protection hidden="1"/>
    </xf>
    <xf numFmtId="0" fontId="3" fillId="0" borderId="133" xfId="213" applyFont="1" applyBorder="1" applyAlignment="1" applyProtection="1">
      <alignment horizontal="left" vertical="top"/>
      <protection hidden="1"/>
    </xf>
    <xf numFmtId="0" fontId="3" fillId="0" borderId="147" xfId="213" applyFont="1" applyBorder="1" applyAlignment="1" applyProtection="1">
      <alignment horizontal="left" vertical="top"/>
      <protection hidden="1"/>
    </xf>
    <xf numFmtId="0" fontId="3" fillId="0" borderId="134" xfId="213" applyFont="1" applyBorder="1" applyAlignment="1" applyProtection="1">
      <alignment horizontal="left" vertical="top"/>
      <protection hidden="1"/>
    </xf>
    <xf numFmtId="0" fontId="3" fillId="0" borderId="0" xfId="213" applyFont="1" applyBorder="1" applyAlignment="1" applyProtection="1">
      <alignment horizontal="left" vertical="top"/>
      <protection hidden="1"/>
    </xf>
    <xf numFmtId="0" fontId="3" fillId="0" borderId="14" xfId="213" applyFont="1" applyBorder="1" applyAlignment="1" applyProtection="1">
      <alignment horizontal="left" vertical="top"/>
      <protection hidden="1"/>
    </xf>
    <xf numFmtId="0" fontId="3" fillId="0" borderId="8" xfId="213" applyFont="1" applyBorder="1" applyAlignment="1" applyProtection="1">
      <alignment horizontal="left" vertical="top"/>
      <protection hidden="1"/>
    </xf>
    <xf numFmtId="0" fontId="3" fillId="0" borderId="1" xfId="213" applyFont="1" applyBorder="1" applyAlignment="1" applyProtection="1">
      <alignment horizontal="left" vertical="top"/>
      <protection hidden="1"/>
    </xf>
    <xf numFmtId="0" fontId="3" fillId="0" borderId="18" xfId="213" applyFont="1" applyBorder="1" applyAlignment="1" applyProtection="1">
      <alignment horizontal="left" vertical="top"/>
      <protection hidden="1"/>
    </xf>
    <xf numFmtId="0" fontId="52" fillId="0" borderId="11" xfId="213" applyFont="1" applyBorder="1" applyAlignment="1" applyProtection="1">
      <alignment horizontal="center" vertical="center"/>
      <protection locked="0" hidden="1"/>
    </xf>
    <xf numFmtId="0" fontId="52" fillId="0" borderId="89" xfId="213" applyFont="1" applyBorder="1" applyAlignment="1" applyProtection="1">
      <alignment horizontal="center" vertical="center"/>
      <protection locked="0" hidden="1"/>
    </xf>
    <xf numFmtId="0" fontId="52" fillId="0" borderId="93" xfId="213" applyFont="1" applyBorder="1" applyAlignment="1" applyProtection="1">
      <alignment horizontal="center" vertical="center"/>
      <protection locked="0" hidden="1"/>
    </xf>
    <xf numFmtId="0" fontId="6" fillId="0" borderId="139" xfId="213" applyFont="1" applyBorder="1" applyAlignment="1" applyProtection="1">
      <alignment horizontal="center" vertical="center"/>
      <protection locked="0" hidden="1"/>
    </xf>
    <xf numFmtId="0" fontId="6" fillId="0" borderId="139" xfId="213" applyFont="1" applyBorder="1" applyAlignment="1" applyProtection="1">
      <alignment horizontal="center" vertical="center"/>
      <protection hidden="1"/>
    </xf>
    <xf numFmtId="0" fontId="6" fillId="0" borderId="151" xfId="213" applyFont="1" applyBorder="1" applyAlignment="1" applyProtection="1">
      <alignment horizontal="center" vertical="center" wrapText="1"/>
      <protection hidden="1"/>
    </xf>
    <xf numFmtId="0" fontId="6" fillId="0" borderId="133" xfId="213" applyFont="1" applyBorder="1" applyAlignment="1" applyProtection="1">
      <alignment horizontal="center" vertical="center" wrapText="1"/>
      <protection hidden="1"/>
    </xf>
    <xf numFmtId="0" fontId="6" fillId="0" borderId="150" xfId="213" applyFont="1" applyBorder="1" applyAlignment="1" applyProtection="1">
      <alignment horizontal="center" vertical="center" wrapText="1"/>
      <protection hidden="1"/>
    </xf>
    <xf numFmtId="0" fontId="6" fillId="0" borderId="110" xfId="213" applyFont="1" applyBorder="1" applyAlignment="1" applyProtection="1">
      <alignment horizontal="center" vertical="center" wrapText="1"/>
      <protection hidden="1"/>
    </xf>
    <xf numFmtId="0" fontId="6" fillId="0" borderId="1" xfId="213" applyFont="1" applyBorder="1" applyAlignment="1" applyProtection="1">
      <alignment horizontal="center" vertical="center" wrapText="1"/>
      <protection hidden="1"/>
    </xf>
    <xf numFmtId="0" fontId="6" fillId="0" borderId="9" xfId="213" applyFont="1" applyBorder="1" applyAlignment="1" applyProtection="1">
      <alignment horizontal="center" vertical="center" wrapText="1"/>
      <protection hidden="1"/>
    </xf>
    <xf numFmtId="0" fontId="6" fillId="0" borderId="151" xfId="213" applyFont="1" applyBorder="1" applyAlignment="1" applyProtection="1">
      <alignment horizontal="center" vertical="center"/>
      <protection hidden="1"/>
    </xf>
    <xf numFmtId="0" fontId="6" fillId="0" borderId="133" xfId="213" applyFont="1" applyBorder="1" applyAlignment="1" applyProtection="1">
      <alignment horizontal="center" vertical="center"/>
      <protection hidden="1"/>
    </xf>
    <xf numFmtId="0" fontId="6" fillId="0" borderId="147" xfId="213" applyFont="1" applyBorder="1" applyAlignment="1" applyProtection="1">
      <alignment horizontal="center" vertical="center"/>
      <protection hidden="1"/>
    </xf>
    <xf numFmtId="0" fontId="6" fillId="0" borderId="110" xfId="213" applyFont="1" applyBorder="1" applyAlignment="1" applyProtection="1">
      <alignment horizontal="center" vertical="center"/>
      <protection hidden="1"/>
    </xf>
    <xf numFmtId="0" fontId="6" fillId="0" borderId="1" xfId="213" applyFont="1" applyBorder="1" applyAlignment="1" applyProtection="1">
      <alignment horizontal="center" vertical="center"/>
      <protection hidden="1"/>
    </xf>
    <xf numFmtId="0" fontId="6" fillId="0" borderId="18" xfId="213" applyFont="1" applyBorder="1" applyAlignment="1" applyProtection="1">
      <alignment horizontal="center" vertical="center"/>
      <protection hidden="1"/>
    </xf>
    <xf numFmtId="0" fontId="20" fillId="0" borderId="6" xfId="213" applyFont="1" applyBorder="1" applyAlignment="1" applyProtection="1">
      <alignment horizontal="center" vertical="center"/>
      <protection hidden="1"/>
    </xf>
    <xf numFmtId="0" fontId="20" fillId="0" borderId="91" xfId="213" applyFont="1" applyBorder="1" applyAlignment="1" applyProtection="1">
      <alignment horizontal="center" vertical="center"/>
      <protection hidden="1"/>
    </xf>
    <xf numFmtId="0" fontId="20" fillId="0" borderId="128" xfId="213" applyFont="1" applyBorder="1" applyAlignment="1" applyProtection="1">
      <alignment horizontal="center" vertical="center"/>
      <protection hidden="1"/>
    </xf>
    <xf numFmtId="0" fontId="6" fillId="0" borderId="11" xfId="213" applyFont="1" applyBorder="1" applyAlignment="1" applyProtection="1">
      <alignment horizontal="center" vertical="center"/>
      <protection hidden="1"/>
    </xf>
    <xf numFmtId="0" fontId="6" fillId="0" borderId="89" xfId="213" applyFont="1" applyBorder="1" applyAlignment="1" applyProtection="1">
      <alignment horizontal="center" vertical="center"/>
      <protection hidden="1"/>
    </xf>
    <xf numFmtId="0" fontId="6" fillId="0" borderId="93" xfId="213" applyFont="1" applyBorder="1" applyAlignment="1" applyProtection="1">
      <alignment horizontal="center" vertical="center"/>
      <protection hidden="1"/>
    </xf>
    <xf numFmtId="45" fontId="6" fillId="0" borderId="151" xfId="213" applyNumberFormat="1" applyFont="1" applyBorder="1" applyAlignment="1" applyProtection="1">
      <alignment horizontal="center" vertical="center"/>
      <protection hidden="1"/>
    </xf>
    <xf numFmtId="45" fontId="6" fillId="0" borderId="133" xfId="213" applyNumberFormat="1" applyFont="1" applyBorder="1" applyAlignment="1" applyProtection="1">
      <alignment horizontal="center" vertical="center"/>
      <protection hidden="1"/>
    </xf>
    <xf numFmtId="45" fontId="6" fillId="0" borderId="110" xfId="213" applyNumberFormat="1" applyFont="1" applyBorder="1" applyAlignment="1" applyProtection="1">
      <alignment horizontal="center" vertical="center"/>
      <protection hidden="1"/>
    </xf>
    <xf numFmtId="45" fontId="6" fillId="0" borderId="1" xfId="213" applyNumberFormat="1" applyFont="1" applyBorder="1" applyAlignment="1" applyProtection="1">
      <alignment horizontal="center" vertical="center"/>
      <protection hidden="1"/>
    </xf>
    <xf numFmtId="0" fontId="6" fillId="0" borderId="145" xfId="213" applyFont="1" applyBorder="1" applyAlignment="1" applyProtection="1">
      <alignment horizontal="center" vertical="center"/>
      <protection locked="0" hidden="1"/>
    </xf>
    <xf numFmtId="0" fontId="6" fillId="0" borderId="150" xfId="213" applyFont="1" applyBorder="1" applyAlignment="1" applyProtection="1">
      <alignment horizontal="center" vertical="center"/>
      <protection locked="0" hidden="1"/>
    </xf>
    <xf numFmtId="0" fontId="6" fillId="0" borderId="158" xfId="213" applyFont="1" applyBorder="1" applyAlignment="1" applyProtection="1">
      <alignment horizontal="center" vertical="center"/>
      <protection locked="0" hidden="1"/>
    </xf>
    <xf numFmtId="0" fontId="6" fillId="0" borderId="153" xfId="213" applyFont="1" applyBorder="1" applyAlignment="1" applyProtection="1">
      <alignment horizontal="center" vertical="center"/>
      <protection locked="0" hidden="1"/>
    </xf>
    <xf numFmtId="0" fontId="52" fillId="0" borderId="5" xfId="213" applyFont="1" applyBorder="1" applyAlignment="1" applyProtection="1">
      <alignment horizontal="center" vertical="center"/>
      <protection locked="0" hidden="1"/>
    </xf>
    <xf numFmtId="0" fontId="6" fillId="0" borderId="6" xfId="213" applyFont="1" applyBorder="1" applyAlignment="1" applyProtection="1">
      <alignment horizontal="center" vertical="center"/>
      <protection locked="0" hidden="1"/>
    </xf>
    <xf numFmtId="0" fontId="6" fillId="0" borderId="91" xfId="213" applyFont="1" applyBorder="1" applyAlignment="1" applyProtection="1">
      <alignment horizontal="center" vertical="center"/>
      <protection locked="0" hidden="1"/>
    </xf>
    <xf numFmtId="0" fontId="6" fillId="0" borderId="128" xfId="213" applyFont="1" applyBorder="1" applyAlignment="1" applyProtection="1">
      <alignment horizontal="center" vertical="center"/>
      <protection locked="0" hidden="1"/>
    </xf>
    <xf numFmtId="0" fontId="6" fillId="0" borderId="5" xfId="213" applyFont="1" applyBorder="1" applyAlignment="1" applyProtection="1">
      <alignment horizontal="center" vertical="center" wrapText="1"/>
      <protection hidden="1"/>
    </xf>
    <xf numFmtId="0" fontId="6" fillId="0" borderId="5" xfId="213" applyFont="1" applyBorder="1" applyAlignment="1" applyProtection="1">
      <alignment horizontal="center" vertical="center"/>
      <protection hidden="1"/>
    </xf>
    <xf numFmtId="0" fontId="6" fillId="0" borderId="8" xfId="213" applyFont="1" applyBorder="1" applyAlignment="1" applyProtection="1">
      <alignment horizontal="center" vertical="center"/>
      <protection locked="0" hidden="1"/>
    </xf>
    <xf numFmtId="0" fontId="6" fillId="0" borderId="9" xfId="213" applyFont="1" applyBorder="1" applyAlignment="1" applyProtection="1">
      <alignment horizontal="center" vertical="center"/>
      <protection locked="0" hidden="1"/>
    </xf>
    <xf numFmtId="0" fontId="6" fillId="0" borderId="129" xfId="213" applyFont="1" applyBorder="1" applyAlignment="1" applyProtection="1">
      <alignment horizontal="center" vertical="center"/>
      <protection hidden="1"/>
    </xf>
    <xf numFmtId="0" fontId="6" fillId="0" borderId="90" xfId="213" applyFont="1" applyBorder="1" applyAlignment="1" applyProtection="1">
      <alignment horizontal="center" vertical="center"/>
      <protection hidden="1"/>
    </xf>
    <xf numFmtId="0" fontId="6" fillId="0" borderId="138" xfId="213" applyFont="1" applyBorder="1" applyAlignment="1" applyProtection="1">
      <alignment horizontal="center" vertical="center"/>
      <protection hidden="1"/>
    </xf>
    <xf numFmtId="0" fontId="6" fillId="0" borderId="130" xfId="213" applyFont="1" applyBorder="1" applyAlignment="1" applyProtection="1">
      <alignment horizontal="center" vertical="center"/>
      <protection hidden="1"/>
    </xf>
    <xf numFmtId="45" fontId="6" fillId="0" borderId="140" xfId="213" applyNumberFormat="1" applyFont="1" applyBorder="1" applyAlignment="1" applyProtection="1">
      <alignment horizontal="center" vertical="center"/>
      <protection hidden="1"/>
    </xf>
    <xf numFmtId="45" fontId="6" fillId="0" borderId="0" xfId="213" applyNumberFormat="1" applyFont="1" applyBorder="1" applyAlignment="1" applyProtection="1">
      <alignment horizontal="center" vertical="center"/>
      <protection hidden="1"/>
    </xf>
    <xf numFmtId="0" fontId="6" fillId="0" borderId="11" xfId="213" applyFont="1" applyBorder="1" applyAlignment="1" applyProtection="1">
      <alignment horizontal="center" vertical="center"/>
      <protection locked="0" hidden="1"/>
    </xf>
    <xf numFmtId="0" fontId="6" fillId="0" borderId="89" xfId="213" applyFont="1" applyBorder="1" applyAlignment="1" applyProtection="1">
      <alignment horizontal="center" vertical="center"/>
      <protection locked="0" hidden="1"/>
    </xf>
    <xf numFmtId="0" fontId="6" fillId="0" borderId="93" xfId="213" applyFont="1" applyBorder="1" applyAlignment="1" applyProtection="1">
      <alignment horizontal="center" vertical="center"/>
      <protection locked="0" hidden="1"/>
    </xf>
    <xf numFmtId="0" fontId="6" fillId="0" borderId="151" xfId="213" applyFont="1" applyBorder="1" applyAlignment="1" applyProtection="1">
      <alignment horizontal="center" vertical="center"/>
      <protection locked="0" hidden="1"/>
    </xf>
    <xf numFmtId="0" fontId="6" fillId="0" borderId="133" xfId="213" applyFont="1" applyBorder="1" applyAlignment="1" applyProtection="1">
      <alignment horizontal="center" vertical="center"/>
      <protection locked="0" hidden="1"/>
    </xf>
    <xf numFmtId="0" fontId="6" fillId="0" borderId="154" xfId="213" applyFont="1" applyBorder="1" applyAlignment="1" applyProtection="1">
      <alignment horizontal="center" vertical="center" wrapText="1"/>
      <protection hidden="1"/>
    </xf>
    <xf numFmtId="0" fontId="6" fillId="0" borderId="154" xfId="213" applyFont="1" applyBorder="1" applyAlignment="1" applyProtection="1">
      <alignment horizontal="center" vertical="center"/>
      <protection hidden="1"/>
    </xf>
    <xf numFmtId="0" fontId="3" fillId="0" borderId="0" xfId="213" applyFont="1" applyBorder="1" applyAlignment="1" applyProtection="1">
      <alignment horizontal="center"/>
      <protection hidden="1"/>
    </xf>
    <xf numFmtId="0" fontId="6" fillId="0" borderId="8" xfId="213" applyFont="1" applyBorder="1" applyAlignment="1" applyProtection="1">
      <alignment horizontal="center" vertical="center" wrapText="1" shrinkToFit="1"/>
      <protection locked="0" hidden="1"/>
    </xf>
    <xf numFmtId="0" fontId="6" fillId="0" borderId="9" xfId="213" applyFont="1" applyBorder="1" applyAlignment="1" applyProtection="1">
      <alignment horizontal="center" vertical="center" wrapText="1" shrinkToFit="1"/>
      <protection locked="0" hidden="1"/>
    </xf>
    <xf numFmtId="0" fontId="6" fillId="0" borderId="129" xfId="213" applyFont="1" applyBorder="1" applyAlignment="1" applyProtection="1">
      <alignment horizontal="center" vertical="center"/>
      <protection locked="0" hidden="1"/>
    </xf>
    <xf numFmtId="0" fontId="6" fillId="0" borderId="90" xfId="213" applyFont="1" applyBorder="1" applyAlignment="1" applyProtection="1">
      <alignment horizontal="center" vertical="center"/>
      <protection locked="0" hidden="1"/>
    </xf>
    <xf numFmtId="0" fontId="6" fillId="0" borderId="130" xfId="213" applyFont="1" applyBorder="1" applyAlignment="1" applyProtection="1">
      <alignment horizontal="center" vertical="center"/>
      <protection locked="0" hidden="1"/>
    </xf>
    <xf numFmtId="0" fontId="6" fillId="0" borderId="92" xfId="213" applyFont="1" applyBorder="1" applyAlignment="1" applyProtection="1">
      <alignment horizontal="center" vertical="center" wrapText="1" shrinkToFit="1"/>
      <protection locked="0" hidden="1"/>
    </xf>
    <xf numFmtId="0" fontId="6" fillId="0" borderId="130" xfId="213" applyFont="1" applyBorder="1" applyAlignment="1" applyProtection="1">
      <alignment horizontal="center" vertical="center" wrapText="1" shrinkToFit="1"/>
      <protection locked="0" hidden="1"/>
    </xf>
    <xf numFmtId="0" fontId="52" fillId="0" borderId="6" xfId="213" applyFont="1" applyBorder="1" applyAlignment="1" applyProtection="1">
      <alignment horizontal="center" vertical="center"/>
      <protection locked="0" hidden="1"/>
    </xf>
    <xf numFmtId="0" fontId="52" fillId="0" borderId="91" xfId="213" applyFont="1" applyBorder="1" applyAlignment="1" applyProtection="1">
      <alignment horizontal="center" vertical="center"/>
      <protection locked="0" hidden="1"/>
    </xf>
    <xf numFmtId="0" fontId="52" fillId="0" borderId="128" xfId="213" applyFont="1" applyBorder="1" applyAlignment="1" applyProtection="1">
      <alignment horizontal="center" vertical="center"/>
      <protection locked="0" hidden="1"/>
    </xf>
    <xf numFmtId="0" fontId="19" fillId="0" borderId="133" xfId="213" applyFont="1" applyBorder="1" applyAlignment="1" applyProtection="1">
      <alignment horizontal="center" vertical="center"/>
      <protection hidden="1"/>
    </xf>
    <xf numFmtId="0" fontId="19" fillId="0" borderId="150" xfId="213" applyFont="1" applyBorder="1" applyAlignment="1" applyProtection="1">
      <alignment horizontal="center" vertical="center"/>
      <protection hidden="1"/>
    </xf>
    <xf numFmtId="0" fontId="9" fillId="4" borderId="5" xfId="105" applyFont="1" applyFill="1" applyBorder="1" applyAlignment="1">
      <alignment horizontal="center" vertical="center"/>
    </xf>
    <xf numFmtId="193" fontId="6" fillId="0" borderId="152" xfId="213" applyNumberFormat="1" applyFont="1" applyBorder="1" applyAlignment="1" applyProtection="1">
      <alignment horizontal="center"/>
      <protection hidden="1"/>
    </xf>
    <xf numFmtId="193" fontId="6" fillId="0" borderId="160" xfId="213" applyNumberFormat="1" applyFont="1" applyBorder="1" applyAlignment="1" applyProtection="1">
      <alignment horizontal="center"/>
      <protection hidden="1"/>
    </xf>
    <xf numFmtId="0" fontId="9" fillId="4" borderId="73" xfId="105" applyFont="1" applyFill="1" applyBorder="1" applyAlignment="1">
      <alignment horizontal="center" vertical="center"/>
    </xf>
    <xf numFmtId="0" fontId="9" fillId="4" borderId="10" xfId="105" applyFont="1" applyFill="1" applyBorder="1" applyAlignment="1">
      <alignment horizontal="center" vertical="center"/>
    </xf>
    <xf numFmtId="0" fontId="6" fillId="0" borderId="152" xfId="213" applyFont="1" applyBorder="1" applyAlignment="1" applyProtection="1">
      <alignment horizontal="center"/>
      <protection locked="0" hidden="1"/>
    </xf>
    <xf numFmtId="0" fontId="6" fillId="0" borderId="160" xfId="213" applyFont="1" applyBorder="1" applyAlignment="1" applyProtection="1">
      <alignment horizontal="center"/>
      <protection locked="0" hidden="1"/>
    </xf>
    <xf numFmtId="0" fontId="6" fillId="0" borderId="152" xfId="213" applyFont="1" applyBorder="1" applyAlignment="1" applyProtection="1">
      <alignment horizontal="center"/>
      <protection hidden="1"/>
    </xf>
    <xf numFmtId="0" fontId="3" fillId="0" borderId="0" xfId="213" applyFont="1" applyBorder="1" applyAlignment="1" applyProtection="1">
      <alignment horizontal="right"/>
      <protection locked="0" hidden="1"/>
    </xf>
    <xf numFmtId="0" fontId="3" fillId="0" borderId="134" xfId="213" applyFont="1" applyBorder="1" applyAlignment="1" applyProtection="1">
      <alignment horizontal="right"/>
      <protection locked="0" hidden="1"/>
    </xf>
    <xf numFmtId="0" fontId="25" fillId="0" borderId="152" xfId="213" applyFont="1" applyBorder="1" applyAlignment="1" applyProtection="1">
      <alignment horizontal="center"/>
      <protection locked="0"/>
    </xf>
    <xf numFmtId="0" fontId="6" fillId="0" borderId="151" xfId="213" applyFont="1" applyBorder="1" applyAlignment="1" applyProtection="1">
      <alignment horizontal="center" vertical="center" wrapText="1" shrinkToFit="1"/>
      <protection hidden="1"/>
    </xf>
    <xf numFmtId="0" fontId="6" fillId="0" borderId="150" xfId="213" applyFont="1" applyBorder="1" applyAlignment="1" applyProtection="1">
      <alignment horizontal="center" vertical="center" wrapText="1" shrinkToFit="1"/>
      <protection hidden="1"/>
    </xf>
    <xf numFmtId="0" fontId="6" fillId="0" borderId="140" xfId="213" applyFont="1" applyBorder="1" applyAlignment="1" applyProtection="1">
      <alignment horizontal="center" vertical="center" wrapText="1" shrinkToFit="1"/>
      <protection hidden="1"/>
    </xf>
    <xf numFmtId="0" fontId="6" fillId="0" borderId="24" xfId="213" applyFont="1" applyBorder="1" applyAlignment="1" applyProtection="1">
      <alignment horizontal="center" vertical="center" wrapText="1" shrinkToFit="1"/>
      <protection hidden="1"/>
    </xf>
    <xf numFmtId="0" fontId="6" fillId="0" borderId="110" xfId="213" applyFont="1" applyBorder="1" applyAlignment="1" applyProtection="1">
      <alignment horizontal="center" vertical="center" wrapText="1" shrinkToFit="1"/>
      <protection hidden="1"/>
    </xf>
    <xf numFmtId="0" fontId="6" fillId="0" borderId="9" xfId="213" applyFont="1" applyBorder="1" applyAlignment="1" applyProtection="1">
      <alignment horizontal="center" vertical="center" wrapText="1" shrinkToFit="1"/>
      <protection hidden="1"/>
    </xf>
    <xf numFmtId="0" fontId="6" fillId="0" borderId="136" xfId="213" applyFont="1" applyBorder="1" applyAlignment="1" applyProtection="1">
      <alignment horizontal="center" vertical="center" wrapText="1"/>
      <protection hidden="1"/>
    </xf>
    <xf numFmtId="0" fontId="6" fillId="0" borderId="161" xfId="213" applyFont="1" applyBorder="1" applyAlignment="1" applyProtection="1">
      <alignment horizontal="center" vertical="center" wrapText="1"/>
      <protection hidden="1"/>
    </xf>
    <xf numFmtId="0" fontId="6" fillId="0" borderId="131" xfId="213" applyFont="1" applyBorder="1" applyAlignment="1" applyProtection="1">
      <alignment horizontal="center" vertical="center" wrapText="1"/>
      <protection hidden="1"/>
    </xf>
    <xf numFmtId="0" fontId="6" fillId="0" borderId="132" xfId="213" applyFont="1" applyBorder="1" applyAlignment="1" applyProtection="1">
      <alignment horizontal="center" vertical="center" wrapText="1"/>
      <protection hidden="1"/>
    </xf>
    <xf numFmtId="0" fontId="6" fillId="0" borderId="120" xfId="213" applyFont="1" applyBorder="1" applyAlignment="1" applyProtection="1">
      <alignment horizontal="center" vertical="center" wrapText="1"/>
      <protection hidden="1"/>
    </xf>
    <xf numFmtId="0" fontId="6" fillId="0" borderId="121" xfId="213" applyFont="1" applyBorder="1" applyAlignment="1" applyProtection="1">
      <alignment horizontal="center" vertical="center" wrapText="1"/>
      <protection hidden="1"/>
    </xf>
    <xf numFmtId="0" fontId="6" fillId="0" borderId="140" xfId="213" applyFont="1" applyBorder="1" applyAlignment="1" applyProtection="1">
      <alignment horizontal="center" vertical="center" wrapText="1"/>
      <protection hidden="1"/>
    </xf>
    <xf numFmtId="0" fontId="6" fillId="0" borderId="0" xfId="213" applyFont="1" applyBorder="1" applyAlignment="1" applyProtection="1">
      <alignment horizontal="center" vertical="center" wrapText="1"/>
      <protection hidden="1"/>
    </xf>
    <xf numFmtId="0" fontId="6" fillId="0" borderId="24" xfId="213" applyFont="1" applyBorder="1" applyAlignment="1" applyProtection="1">
      <alignment horizontal="center" vertical="center" wrapText="1"/>
      <protection hidden="1"/>
    </xf>
    <xf numFmtId="0" fontId="6" fillId="0" borderId="135" xfId="213" applyFont="1" applyBorder="1" applyAlignment="1" applyProtection="1">
      <alignment horizontal="center" vertical="center" wrapText="1"/>
      <protection locked="0" hidden="1"/>
    </xf>
    <xf numFmtId="0" fontId="6" fillId="0" borderId="136" xfId="213" applyFont="1" applyBorder="1" applyAlignment="1" applyProtection="1">
      <alignment horizontal="center" vertical="center" wrapText="1"/>
      <protection locked="0" hidden="1"/>
    </xf>
    <xf numFmtId="0" fontId="6" fillId="0" borderId="155" xfId="213" applyFont="1" applyBorder="1" applyAlignment="1" applyProtection="1">
      <alignment horizontal="center" vertical="center" wrapText="1"/>
      <protection locked="0" hidden="1"/>
    </xf>
    <xf numFmtId="0" fontId="6" fillId="0" borderId="131" xfId="213" applyFont="1" applyBorder="1" applyAlignment="1" applyProtection="1">
      <alignment horizontal="center" vertical="center" wrapText="1"/>
      <protection locked="0" hidden="1"/>
    </xf>
    <xf numFmtId="0" fontId="6" fillId="0" borderId="137" xfId="213" applyFont="1" applyBorder="1" applyAlignment="1" applyProtection="1">
      <alignment horizontal="center" vertical="center" wrapText="1"/>
      <protection locked="0" hidden="1"/>
    </xf>
    <xf numFmtId="0" fontId="6" fillId="0" borderId="120" xfId="213" applyFont="1" applyBorder="1" applyAlignment="1" applyProtection="1">
      <alignment horizontal="center" vertical="center" wrapText="1"/>
      <protection locked="0" hidden="1"/>
    </xf>
    <xf numFmtId="0" fontId="6" fillId="0" borderId="136" xfId="213" applyFont="1" applyBorder="1" applyAlignment="1" applyProtection="1">
      <alignment horizontal="center" vertical="center" wrapText="1" shrinkToFit="1"/>
      <protection locked="0" hidden="1"/>
    </xf>
    <xf numFmtId="0" fontId="6" fillId="0" borderId="131" xfId="213" applyFont="1" applyBorder="1" applyAlignment="1" applyProtection="1">
      <alignment horizontal="center" vertical="center" wrapText="1" shrinkToFit="1"/>
      <protection locked="0" hidden="1"/>
    </xf>
    <xf numFmtId="0" fontId="6" fillId="0" borderId="120" xfId="213" applyFont="1" applyBorder="1" applyAlignment="1" applyProtection="1">
      <alignment horizontal="center" vertical="center" wrapText="1" shrinkToFit="1"/>
      <protection locked="0" hidden="1"/>
    </xf>
    <xf numFmtId="0" fontId="20" fillId="0" borderId="152" xfId="213" applyNumberFormat="1" applyFont="1" applyBorder="1" applyAlignment="1" applyProtection="1">
      <alignment horizontal="center"/>
      <protection locked="0"/>
    </xf>
    <xf numFmtId="0" fontId="3" fillId="0" borderId="0" xfId="213" applyFont="1" applyBorder="1" applyAlignment="1" applyProtection="1">
      <alignment horizontal="center" vertical="top"/>
      <protection hidden="1"/>
    </xf>
    <xf numFmtId="0" fontId="3" fillId="2" borderId="0" xfId="0" applyFont="1" applyFill="1" applyBorder="1" applyAlignment="1" applyProtection="1">
      <alignment horizontal="left"/>
      <protection locked="0"/>
    </xf>
    <xf numFmtId="0" fontId="24" fillId="2" borderId="143" xfId="0" applyFont="1" applyFill="1" applyBorder="1" applyAlignment="1" applyProtection="1">
      <alignment horizontal="center" vertical="top"/>
      <protection locked="0"/>
    </xf>
    <xf numFmtId="0" fontId="24" fillId="2" borderId="0" xfId="0" applyFont="1" applyFill="1" applyBorder="1" applyAlignment="1" applyProtection="1">
      <alignment horizontal="center" vertical="top"/>
      <protection locked="0"/>
    </xf>
    <xf numFmtId="0" fontId="3" fillId="2" borderId="0" xfId="0" applyFont="1" applyFill="1" applyBorder="1" applyAlignment="1" applyProtection="1">
      <alignment horizontal="left" vertical="top" wrapText="1"/>
      <protection locked="0"/>
    </xf>
    <xf numFmtId="0" fontId="3" fillId="2" borderId="152" xfId="0" applyFont="1" applyFill="1" applyBorder="1" applyAlignment="1" applyProtection="1">
      <alignment horizontal="center" vertical="top"/>
      <protection locked="0"/>
    </xf>
    <xf numFmtId="0" fontId="3" fillId="2" borderId="0" xfId="0" applyFont="1" applyFill="1" applyBorder="1" applyAlignment="1" applyProtection="1">
      <alignment horizontal="center" vertical="top"/>
      <protection locked="0"/>
    </xf>
    <xf numFmtId="0" fontId="3" fillId="2" borderId="0" xfId="0" applyFont="1" applyFill="1" applyBorder="1" applyAlignment="1" applyProtection="1">
      <alignment horizontal="left" vertical="top"/>
      <protection locked="0"/>
    </xf>
    <xf numFmtId="0" fontId="24" fillId="2" borderId="0" xfId="0" applyFont="1" applyFill="1" applyBorder="1" applyAlignment="1" applyProtection="1">
      <alignment horizontal="left" vertical="top"/>
      <protection locked="0"/>
    </xf>
    <xf numFmtId="0" fontId="3" fillId="2" borderId="152" xfId="0" applyFont="1" applyFill="1" applyBorder="1" applyAlignment="1" applyProtection="1">
      <alignment horizontal="center"/>
      <protection locked="0"/>
    </xf>
    <xf numFmtId="0" fontId="3" fillId="0" borderId="152" xfId="0" applyFont="1" applyBorder="1" applyAlignment="1" applyProtection="1">
      <alignment horizontal="center" wrapText="1"/>
      <protection locked="0"/>
    </xf>
    <xf numFmtId="0" fontId="3" fillId="0" borderId="152" xfId="0" applyFont="1" applyBorder="1" applyAlignment="1" applyProtection="1">
      <alignment horizontal="center"/>
      <protection locked="0"/>
    </xf>
    <xf numFmtId="0" fontId="3" fillId="2" borderId="0" xfId="0" applyFont="1" applyFill="1" applyBorder="1" applyAlignment="1" applyProtection="1">
      <alignment horizontal="center"/>
      <protection locked="0"/>
    </xf>
    <xf numFmtId="0" fontId="3" fillId="0" borderId="141" xfId="0" applyFont="1" applyBorder="1" applyAlignment="1" applyProtection="1">
      <alignment horizontal="left"/>
      <protection locked="0"/>
    </xf>
    <xf numFmtId="0" fontId="3" fillId="0" borderId="141" xfId="0" applyFont="1" applyBorder="1" applyAlignment="1" applyProtection="1">
      <alignment horizontal="center"/>
      <protection locked="0"/>
    </xf>
    <xf numFmtId="0" fontId="3" fillId="0" borderId="141" xfId="0" applyFont="1" applyBorder="1" applyAlignment="1">
      <alignment horizontal="left"/>
    </xf>
    <xf numFmtId="0" fontId="13" fillId="0" borderId="141" xfId="0" applyFont="1" applyBorder="1" applyAlignment="1">
      <alignment horizontal="left"/>
    </xf>
    <xf numFmtId="0" fontId="3" fillId="0" borderId="152" xfId="0" applyFont="1" applyBorder="1" applyAlignment="1" applyProtection="1">
      <alignment horizontal="left"/>
      <protection locked="0"/>
    </xf>
    <xf numFmtId="0" fontId="3" fillId="0" borderId="0" xfId="0" applyFont="1" applyBorder="1" applyAlignment="1" applyProtection="1">
      <alignment horizontal="left" vertical="top"/>
      <protection locked="0"/>
    </xf>
    <xf numFmtId="0" fontId="24" fillId="0" borderId="0" xfId="0" applyFont="1" applyBorder="1" applyAlignment="1" applyProtection="1">
      <alignment horizontal="center"/>
      <protection locked="0"/>
    </xf>
    <xf numFmtId="0" fontId="3" fillId="0" borderId="0" xfId="0" applyFont="1" applyBorder="1" applyAlignment="1" applyProtection="1">
      <alignment horizontal="center"/>
      <protection locked="0"/>
    </xf>
    <xf numFmtId="0" fontId="3" fillId="0" borderId="0" xfId="0" applyFont="1" applyBorder="1" applyAlignment="1">
      <alignment horizontal="left" vertical="top" wrapText="1"/>
    </xf>
    <xf numFmtId="0" fontId="19" fillId="0" borderId="133" xfId="0" applyFont="1" applyBorder="1" applyAlignment="1">
      <alignment horizontal="center" vertical="center" wrapText="1"/>
    </xf>
    <xf numFmtId="0" fontId="19" fillId="0" borderId="150"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9" xfId="0" applyFont="1" applyBorder="1" applyAlignment="1">
      <alignment horizontal="center" vertical="center" wrapText="1"/>
    </xf>
    <xf numFmtId="0" fontId="3" fillId="0" borderId="152" xfId="0" applyFont="1" applyBorder="1" applyAlignment="1">
      <alignment horizontal="center"/>
    </xf>
    <xf numFmtId="0" fontId="13" fillId="0" borderId="152" xfId="0" applyFont="1" applyBorder="1" applyAlignment="1">
      <alignment horizontal="center"/>
    </xf>
    <xf numFmtId="15" fontId="9" fillId="0" borderId="89" xfId="1" quotePrefix="1" applyNumberFormat="1" applyFont="1" applyBorder="1" applyAlignment="1" applyProtection="1">
      <alignment horizontal="center" vertical="center"/>
      <protection hidden="1"/>
    </xf>
    <xf numFmtId="15" fontId="9" fillId="0" borderId="12" xfId="1" quotePrefix="1" applyNumberFormat="1" applyFont="1" applyBorder="1" applyAlignment="1" applyProtection="1">
      <alignment horizontal="center" vertical="center"/>
      <protection hidden="1"/>
    </xf>
    <xf numFmtId="0" fontId="24" fillId="0" borderId="0" xfId="105" applyFont="1" applyAlignment="1" applyProtection="1">
      <alignment horizontal="left"/>
      <protection locked="0"/>
    </xf>
    <xf numFmtId="0" fontId="26" fillId="0" borderId="0" xfId="105" applyFont="1" applyAlignment="1" applyProtection="1">
      <alignment horizontal="right"/>
      <protection locked="0"/>
    </xf>
    <xf numFmtId="0" fontId="26" fillId="0" borderId="14" xfId="105" applyFont="1" applyBorder="1" applyAlignment="1" applyProtection="1">
      <alignment horizontal="right"/>
      <protection locked="0"/>
    </xf>
    <xf numFmtId="0" fontId="21" fillId="2" borderId="17" xfId="105" applyFont="1" applyFill="1" applyBorder="1" applyAlignment="1" applyProtection="1">
      <alignment horizontal="left" vertical="center" wrapText="1"/>
      <protection locked="0"/>
    </xf>
    <xf numFmtId="0" fontId="21" fillId="2" borderId="0" xfId="105" applyFont="1" applyFill="1" applyAlignment="1" applyProtection="1">
      <alignment horizontal="left" vertical="center" wrapText="1"/>
      <protection locked="0"/>
    </xf>
    <xf numFmtId="0" fontId="3" fillId="2" borderId="15" xfId="105" applyFont="1" applyFill="1" applyBorder="1" applyAlignment="1" applyProtection="1">
      <alignment horizontal="center"/>
      <protection locked="0"/>
    </xf>
    <xf numFmtId="0" fontId="3" fillId="0" borderId="17" xfId="105" applyFont="1" applyBorder="1" applyAlignment="1" applyProtection="1">
      <alignment horizontal="center"/>
      <protection locked="0"/>
    </xf>
    <xf numFmtId="0" fontId="24" fillId="0" borderId="0" xfId="105" applyFont="1" applyAlignment="1" applyProtection="1">
      <alignment horizontal="center"/>
      <protection locked="0"/>
    </xf>
    <xf numFmtId="0" fontId="3" fillId="0" borderId="0" xfId="105" applyFont="1" applyAlignment="1" applyProtection="1">
      <alignment horizontal="center"/>
      <protection locked="0"/>
    </xf>
    <xf numFmtId="0" fontId="6" fillId="2" borderId="15" xfId="105" applyFont="1" applyFill="1" applyBorder="1" applyAlignment="1" applyProtection="1">
      <alignment horizontal="left"/>
      <protection locked="0"/>
    </xf>
    <xf numFmtId="0" fontId="3" fillId="2" borderId="15" xfId="105" applyFont="1" applyFill="1" applyBorder="1" applyAlignment="1" applyProtection="1">
      <alignment horizontal="left"/>
      <protection locked="0"/>
    </xf>
    <xf numFmtId="0" fontId="6" fillId="2" borderId="16" xfId="105" applyFont="1" applyFill="1" applyBorder="1" applyAlignment="1" applyProtection="1">
      <alignment horizontal="left"/>
      <protection locked="0"/>
    </xf>
    <xf numFmtId="0" fontId="6" fillId="2" borderId="15" xfId="105" applyFont="1" applyFill="1" applyBorder="1" applyAlignment="1" applyProtection="1">
      <alignment horizontal="center"/>
      <protection locked="0"/>
    </xf>
    <xf numFmtId="0" fontId="6" fillId="2" borderId="16" xfId="105" applyFont="1" applyFill="1" applyBorder="1" applyAlignment="1" applyProtection="1">
      <alignment horizontal="center"/>
      <protection locked="0"/>
    </xf>
    <xf numFmtId="0" fontId="3" fillId="5" borderId="40" xfId="105" applyFont="1" applyFill="1" applyBorder="1" applyAlignment="1" applyProtection="1">
      <alignment horizontal="center"/>
      <protection locked="0"/>
    </xf>
    <xf numFmtId="0" fontId="3" fillId="5" borderId="87" xfId="105" applyFont="1" applyFill="1" applyBorder="1" applyAlignment="1" applyProtection="1">
      <alignment horizontal="center"/>
      <protection locked="0"/>
    </xf>
    <xf numFmtId="172" fontId="6" fillId="2" borderId="40" xfId="105" applyNumberFormat="1" applyFont="1" applyFill="1" applyBorder="1" applyAlignment="1" applyProtection="1">
      <alignment horizontal="center" vertical="center" wrapText="1"/>
      <protection locked="0"/>
    </xf>
    <xf numFmtId="0" fontId="6" fillId="2" borderId="87" xfId="105" applyFont="1" applyFill="1" applyBorder="1" applyAlignment="1" applyProtection="1">
      <alignment horizontal="center" vertical="center" wrapText="1"/>
      <protection locked="0"/>
    </xf>
    <xf numFmtId="174" fontId="3" fillId="0" borderId="40" xfId="105" applyNumberFormat="1" applyFont="1" applyBorder="1" applyAlignment="1" applyProtection="1">
      <alignment horizontal="center" vertical="center"/>
      <protection locked="0"/>
    </xf>
    <xf numFmtId="174" fontId="3" fillId="0" borderId="87" xfId="105" applyNumberFormat="1" applyFont="1" applyBorder="1" applyAlignment="1" applyProtection="1">
      <alignment horizontal="center" vertical="center"/>
      <protection locked="0"/>
    </xf>
    <xf numFmtId="174" fontId="3" fillId="2" borderId="16" xfId="105" applyNumberFormat="1" applyFont="1" applyFill="1" applyBorder="1" applyAlignment="1" applyProtection="1">
      <alignment horizontal="center" vertical="center"/>
      <protection locked="0"/>
    </xf>
    <xf numFmtId="174" fontId="3" fillId="2" borderId="87" xfId="105" applyNumberFormat="1" applyFont="1" applyFill="1" applyBorder="1" applyAlignment="1" applyProtection="1">
      <alignment horizontal="center" vertical="center"/>
      <protection locked="0"/>
    </xf>
    <xf numFmtId="0" fontId="3" fillId="2" borderId="0" xfId="105" applyFont="1" applyFill="1" applyAlignment="1" applyProtection="1">
      <alignment horizontal="left" wrapText="1"/>
      <protection locked="0"/>
    </xf>
    <xf numFmtId="0" fontId="3" fillId="2" borderId="0" xfId="105" applyFont="1" applyFill="1" applyAlignment="1" applyProtection="1">
      <alignment horizontal="left"/>
      <protection locked="0"/>
    </xf>
    <xf numFmtId="0" fontId="10" fillId="2" borderId="15" xfId="0" applyFont="1" applyFill="1" applyBorder="1" applyProtection="1">
      <protection locked="0"/>
    </xf>
    <xf numFmtId="172" fontId="3" fillId="2" borderId="15" xfId="0" applyNumberFormat="1" applyFont="1" applyFill="1" applyBorder="1" applyAlignment="1" applyProtection="1">
      <alignment horizontal="center"/>
      <protection locked="0"/>
    </xf>
    <xf numFmtId="0" fontId="10" fillId="2" borderId="16" xfId="0" applyFont="1" applyFill="1" applyBorder="1" applyAlignment="1" applyProtection="1">
      <alignment horizontal="center"/>
      <protection locked="0"/>
    </xf>
    <xf numFmtId="172" fontId="10" fillId="2" borderId="15" xfId="0" applyNumberFormat="1" applyFont="1" applyFill="1" applyBorder="1" applyAlignment="1" applyProtection="1">
      <alignment horizontal="left" indent="1"/>
      <protection locked="0"/>
    </xf>
    <xf numFmtId="0" fontId="6" fillId="5" borderId="40" xfId="105" applyFont="1" applyFill="1" applyBorder="1" applyAlignment="1" applyProtection="1">
      <alignment horizontal="center"/>
      <protection locked="0"/>
    </xf>
    <xf numFmtId="0" fontId="6" fillId="5" borderId="16" xfId="105" applyFont="1" applyFill="1" applyBorder="1" applyAlignment="1" applyProtection="1">
      <alignment horizontal="center"/>
      <protection locked="0"/>
    </xf>
    <xf numFmtId="0" fontId="6" fillId="5" borderId="87" xfId="105" applyFont="1" applyFill="1" applyBorder="1" applyAlignment="1" applyProtection="1">
      <alignment horizontal="center"/>
      <protection locked="0"/>
    </xf>
    <xf numFmtId="0" fontId="13" fillId="11" borderId="39" xfId="105" applyFill="1" applyBorder="1" applyAlignment="1">
      <alignment horizontal="center"/>
    </xf>
    <xf numFmtId="172" fontId="10" fillId="2" borderId="16" xfId="0" applyNumberFormat="1" applyFont="1" applyFill="1" applyBorder="1" applyAlignment="1" applyProtection="1">
      <alignment horizontal="left" indent="1"/>
      <protection locked="0"/>
    </xf>
    <xf numFmtId="0" fontId="10" fillId="2" borderId="15" xfId="0" applyFont="1" applyFill="1" applyBorder="1" applyAlignment="1" applyProtection="1">
      <alignment horizontal="left" indent="1"/>
      <protection locked="0"/>
    </xf>
    <xf numFmtId="0" fontId="3" fillId="2" borderId="16" xfId="0" applyFont="1" applyFill="1" applyBorder="1" applyAlignment="1" applyProtection="1">
      <alignment horizontal="left" indent="1"/>
      <protection locked="0"/>
    </xf>
    <xf numFmtId="172" fontId="9" fillId="2" borderId="15" xfId="0" applyNumberFormat="1" applyFont="1" applyFill="1" applyBorder="1" applyAlignment="1" applyProtection="1">
      <alignment horizontal="center"/>
      <protection locked="0"/>
    </xf>
    <xf numFmtId="0" fontId="9" fillId="2" borderId="16" xfId="0" applyFont="1" applyFill="1" applyBorder="1" applyAlignment="1" applyProtection="1">
      <alignment horizontal="left" indent="1"/>
      <protection locked="0"/>
    </xf>
    <xf numFmtId="0" fontId="6" fillId="2" borderId="15" xfId="0" applyFont="1" applyFill="1" applyBorder="1" applyAlignment="1" applyProtection="1">
      <alignment horizontal="left"/>
      <protection locked="0"/>
    </xf>
    <xf numFmtId="0" fontId="3" fillId="0" borderId="17" xfId="0" applyFont="1" applyBorder="1" applyAlignment="1" applyProtection="1">
      <alignment horizontal="center"/>
      <protection locked="0"/>
    </xf>
    <xf numFmtId="0" fontId="46" fillId="0" borderId="17" xfId="0" applyFont="1" applyBorder="1" applyAlignment="1" applyProtection="1">
      <alignment horizontal="center"/>
      <protection locked="0"/>
    </xf>
    <xf numFmtId="0" fontId="24" fillId="0" borderId="0" xfId="0" applyFont="1" applyAlignment="1" applyProtection="1">
      <alignment horizontal="center"/>
      <protection locked="0"/>
    </xf>
    <xf numFmtId="0" fontId="3" fillId="0" borderId="0" xfId="0" applyFont="1" applyAlignment="1" applyProtection="1">
      <alignment horizontal="center"/>
      <protection locked="0"/>
    </xf>
    <xf numFmtId="0" fontId="6" fillId="2" borderId="15" xfId="0" applyFont="1" applyFill="1" applyBorder="1" applyAlignment="1" applyProtection="1">
      <alignment horizontal="left" wrapText="1"/>
      <protection locked="0"/>
    </xf>
    <xf numFmtId="0" fontId="21" fillId="2" borderId="17" xfId="0" applyFont="1" applyFill="1" applyBorder="1" applyAlignment="1" applyProtection="1">
      <alignment horizontal="justify" vertical="center" wrapText="1"/>
      <protection locked="0"/>
    </xf>
    <xf numFmtId="0" fontId="3" fillId="2" borderId="15" xfId="0" applyFont="1" applyFill="1" applyBorder="1" applyAlignment="1" applyProtection="1">
      <alignment horizontal="center"/>
      <protection locked="0"/>
    </xf>
    <xf numFmtId="0" fontId="3" fillId="2" borderId="100" xfId="0" applyFont="1" applyFill="1" applyBorder="1" applyAlignment="1" applyProtection="1">
      <alignment horizontal="center"/>
      <protection locked="0"/>
    </xf>
    <xf numFmtId="0" fontId="3" fillId="0" borderId="100" xfId="0" applyFont="1" applyBorder="1" applyAlignment="1" applyProtection="1">
      <alignment horizontal="center"/>
      <protection locked="0"/>
    </xf>
    <xf numFmtId="0" fontId="3" fillId="2" borderId="0" xfId="0" applyFont="1" applyFill="1" applyAlignment="1" applyProtection="1">
      <alignment horizontal="left" wrapText="1"/>
      <protection locked="0"/>
    </xf>
    <xf numFmtId="0" fontId="3" fillId="2" borderId="15" xfId="0" applyFont="1" applyFill="1" applyBorder="1" applyAlignment="1" applyProtection="1">
      <alignment horizontal="left" wrapText="1"/>
      <protection locked="0"/>
    </xf>
    <xf numFmtId="172" fontId="10" fillId="2" borderId="16" xfId="0" applyNumberFormat="1" applyFont="1" applyFill="1" applyBorder="1" applyAlignment="1" applyProtection="1">
      <alignment horizontal="center"/>
      <protection locked="0"/>
    </xf>
    <xf numFmtId="0" fontId="10" fillId="2" borderId="16" xfId="0" applyFont="1" applyFill="1" applyBorder="1" applyProtection="1">
      <protection locked="0"/>
    </xf>
    <xf numFmtId="172" fontId="10" fillId="2" borderId="15" xfId="0" applyNumberFormat="1" applyFont="1" applyFill="1" applyBorder="1" applyAlignment="1" applyProtection="1">
      <alignment horizontal="center"/>
      <protection locked="0"/>
    </xf>
    <xf numFmtId="0" fontId="3" fillId="2" borderId="0" xfId="0" applyFont="1" applyFill="1" applyAlignment="1" applyProtection="1">
      <alignment wrapText="1"/>
      <protection locked="0"/>
    </xf>
    <xf numFmtId="0" fontId="0" fillId="0" borderId="0" xfId="0"/>
    <xf numFmtId="0" fontId="3" fillId="2" borderId="15" xfId="0" applyFont="1" applyFill="1" applyBorder="1" applyAlignment="1" applyProtection="1">
      <alignment horizontal="left"/>
      <protection locked="0"/>
    </xf>
    <xf numFmtId="0" fontId="9" fillId="2" borderId="16" xfId="0" applyFont="1" applyFill="1" applyBorder="1" applyAlignment="1" applyProtection="1">
      <alignment horizontal="center"/>
      <protection locked="0"/>
    </xf>
    <xf numFmtId="0" fontId="3" fillId="0" borderId="6" xfId="0" applyFont="1" applyBorder="1" applyAlignment="1">
      <alignment horizontal="center" vertical="center"/>
    </xf>
    <xf numFmtId="0" fontId="3" fillId="0" borderId="7" xfId="0" applyFont="1" applyBorder="1" applyAlignment="1">
      <alignment horizontal="center" vertical="center"/>
    </xf>
    <xf numFmtId="171" fontId="3" fillId="0" borderId="11" xfId="0" applyNumberFormat="1" applyFont="1" applyBorder="1" applyAlignment="1">
      <alignment horizontal="center" vertical="center"/>
    </xf>
    <xf numFmtId="171" fontId="3" fillId="0" borderId="12" xfId="0" applyNumberFormat="1" applyFont="1" applyBorder="1" applyAlignment="1">
      <alignment horizontal="center" vertical="center"/>
    </xf>
    <xf numFmtId="0" fontId="3" fillId="0" borderId="0" xfId="0" applyFont="1" applyBorder="1" applyAlignment="1" applyProtection="1">
      <alignment horizontal="right"/>
      <protection locked="0"/>
    </xf>
    <xf numFmtId="0" fontId="3" fillId="0" borderId="141" xfId="0" applyFont="1" applyBorder="1" applyAlignment="1">
      <alignment horizontal="center"/>
    </xf>
    <xf numFmtId="0" fontId="24" fillId="0" borderId="0" xfId="0" applyFont="1" applyBorder="1" applyAlignment="1" applyProtection="1">
      <alignment horizontal="right"/>
      <protection locked="0"/>
    </xf>
    <xf numFmtId="0" fontId="24" fillId="0" borderId="152" xfId="0" applyFont="1" applyBorder="1" applyAlignment="1" applyProtection="1">
      <alignment horizontal="center"/>
      <protection locked="0"/>
    </xf>
    <xf numFmtId="0" fontId="24" fillId="0" borderId="141" xfId="0" applyFont="1" applyBorder="1" applyAlignment="1" applyProtection="1">
      <alignment horizontal="center"/>
      <protection locked="0"/>
    </xf>
    <xf numFmtId="0" fontId="57" fillId="13" borderId="8" xfId="0" applyFont="1" applyFill="1" applyBorder="1" applyAlignment="1">
      <alignment horizontal="center" vertical="center"/>
    </xf>
    <xf numFmtId="0" fontId="57" fillId="13" borderId="1" xfId="0" applyFont="1" applyFill="1" applyBorder="1" applyAlignment="1">
      <alignment horizontal="center" vertical="center"/>
    </xf>
    <xf numFmtId="0" fontId="57" fillId="13" borderId="18" xfId="0" applyFont="1" applyFill="1" applyBorder="1" applyAlignment="1">
      <alignment horizontal="center" vertical="center"/>
    </xf>
    <xf numFmtId="0" fontId="3" fillId="0" borderId="40" xfId="105" applyFont="1" applyBorder="1" applyAlignment="1" applyProtection="1">
      <alignment horizontal="left"/>
      <protection locked="0"/>
    </xf>
    <xf numFmtId="0" fontId="3" fillId="0" borderId="16" xfId="105" applyFont="1" applyBorder="1" applyAlignment="1" applyProtection="1">
      <alignment horizontal="left"/>
      <protection locked="0"/>
    </xf>
    <xf numFmtId="0" fontId="3" fillId="0" borderId="87" xfId="105" applyFont="1" applyBorder="1" applyAlignment="1" applyProtection="1">
      <alignment horizontal="left"/>
      <protection locked="0"/>
    </xf>
    <xf numFmtId="0" fontId="46" fillId="0" borderId="39" xfId="105" applyFont="1" applyBorder="1" applyAlignment="1" applyProtection="1">
      <alignment horizontal="center"/>
      <protection locked="0"/>
    </xf>
    <xf numFmtId="0" fontId="46" fillId="0" borderId="40" xfId="105" applyFont="1" applyBorder="1" applyAlignment="1" applyProtection="1">
      <alignment horizontal="left"/>
      <protection locked="0"/>
    </xf>
    <xf numFmtId="0" fontId="46" fillId="0" borderId="16" xfId="105" applyFont="1" applyBorder="1" applyAlignment="1" applyProtection="1">
      <alignment horizontal="left"/>
      <protection locked="0"/>
    </xf>
    <xf numFmtId="0" fontId="46" fillId="0" borderId="87" xfId="105" applyFont="1" applyBorder="1" applyAlignment="1" applyProtection="1">
      <alignment horizontal="left"/>
      <protection locked="0"/>
    </xf>
    <xf numFmtId="14" fontId="9" fillId="5" borderId="38" xfId="105" applyNumberFormat="1" applyFont="1" applyFill="1" applyBorder="1" applyAlignment="1" applyProtection="1">
      <alignment horizontal="center" vertical="center"/>
      <protection locked="0"/>
    </xf>
    <xf numFmtId="0" fontId="9" fillId="0" borderId="15" xfId="105" applyFont="1" applyBorder="1" applyAlignment="1" applyProtection="1">
      <alignment horizontal="left"/>
      <protection locked="0"/>
    </xf>
    <xf numFmtId="0" fontId="9" fillId="0" borderId="23" xfId="105" applyFont="1" applyBorder="1" applyAlignment="1" applyProtection="1">
      <alignment horizontal="left"/>
      <protection locked="0"/>
    </xf>
    <xf numFmtId="0" fontId="9" fillId="0" borderId="15" xfId="105" applyFont="1" applyBorder="1" applyAlignment="1" applyProtection="1">
      <alignment horizontal="center"/>
      <protection locked="0" hidden="1"/>
    </xf>
    <xf numFmtId="172" fontId="9" fillId="0" borderId="15" xfId="105" applyNumberFormat="1" applyFont="1" applyBorder="1" applyAlignment="1" applyProtection="1">
      <alignment horizontal="center"/>
      <protection locked="0" hidden="1"/>
    </xf>
    <xf numFmtId="172" fontId="9" fillId="0" borderId="23" xfId="105" applyNumberFormat="1" applyFont="1" applyBorder="1" applyAlignment="1" applyProtection="1">
      <alignment horizontal="center"/>
      <protection locked="0" hidden="1"/>
    </xf>
    <xf numFmtId="22" fontId="9" fillId="0" borderId="15" xfId="105" applyNumberFormat="1" applyFont="1" applyBorder="1" applyAlignment="1" applyProtection="1">
      <alignment horizontal="center"/>
      <protection locked="0"/>
    </xf>
    <xf numFmtId="22" fontId="9" fillId="0" borderId="16" xfId="105" applyNumberFormat="1" applyFont="1" applyBorder="1" applyAlignment="1" applyProtection="1">
      <alignment horizontal="center"/>
      <protection locked="0"/>
    </xf>
    <xf numFmtId="0" fontId="9" fillId="0" borderId="16" xfId="105" applyFont="1" applyBorder="1" applyAlignment="1" applyProtection="1">
      <alignment horizontal="center"/>
      <protection locked="0"/>
    </xf>
    <xf numFmtId="0" fontId="9" fillId="0" borderId="25" xfId="105" applyFont="1" applyBorder="1" applyAlignment="1" applyProtection="1">
      <alignment horizontal="center"/>
      <protection locked="0"/>
    </xf>
    <xf numFmtId="173" fontId="9" fillId="0" borderId="15" xfId="105" applyNumberFormat="1" applyFont="1" applyBorder="1" applyAlignment="1" applyProtection="1">
      <alignment horizontal="center"/>
      <protection locked="0"/>
    </xf>
    <xf numFmtId="173" fontId="9" fillId="0" borderId="23" xfId="105" applyNumberFormat="1" applyFont="1" applyBorder="1" applyAlignment="1" applyProtection="1">
      <alignment horizontal="center"/>
      <protection locked="0"/>
    </xf>
    <xf numFmtId="0" fontId="3" fillId="0" borderId="67" xfId="213" applyFont="1" applyBorder="1" applyProtection="1">
      <protection locked="0" hidden="1"/>
    </xf>
    <xf numFmtId="0" fontId="3" fillId="0" borderId="71" xfId="213" applyFont="1" applyBorder="1" applyProtection="1">
      <protection locked="0" hidden="1"/>
    </xf>
    <xf numFmtId="0" fontId="6" fillId="5" borderId="13" xfId="213" applyFont="1" applyFill="1" applyBorder="1" applyAlignment="1" applyProtection="1">
      <alignment horizontal="center" vertical="center"/>
      <protection locked="0" hidden="1"/>
    </xf>
    <xf numFmtId="0" fontId="6" fillId="5" borderId="0" xfId="213" applyFont="1" applyFill="1" applyAlignment="1" applyProtection="1">
      <alignment horizontal="center" vertical="center"/>
      <protection locked="0" hidden="1"/>
    </xf>
    <xf numFmtId="0" fontId="6" fillId="5" borderId="14" xfId="213" applyFont="1" applyFill="1" applyBorder="1" applyAlignment="1" applyProtection="1">
      <alignment horizontal="center" vertical="center"/>
      <protection locked="0" hidden="1"/>
    </xf>
    <xf numFmtId="183" fontId="3" fillId="0" borderId="101" xfId="213" applyNumberFormat="1" applyFont="1" applyBorder="1" applyAlignment="1" applyProtection="1">
      <alignment horizontal="center" vertical="center"/>
      <protection locked="0" hidden="1"/>
    </xf>
    <xf numFmtId="183" fontId="3" fillId="0" borderId="98" xfId="213" applyNumberFormat="1" applyFont="1" applyBorder="1" applyAlignment="1" applyProtection="1">
      <alignment horizontal="center" vertical="center"/>
      <protection locked="0" hidden="1"/>
    </xf>
    <xf numFmtId="183" fontId="3" fillId="0" borderId="102" xfId="213" applyNumberFormat="1" applyFont="1" applyBorder="1" applyAlignment="1" applyProtection="1">
      <alignment horizontal="center" vertical="center"/>
      <protection locked="0" hidden="1"/>
    </xf>
    <xf numFmtId="183" fontId="3" fillId="0" borderId="99" xfId="213" applyNumberFormat="1" applyFont="1" applyBorder="1" applyAlignment="1" applyProtection="1">
      <alignment horizontal="center" vertical="center"/>
      <protection locked="0" hidden="1"/>
    </xf>
    <xf numFmtId="0" fontId="3" fillId="0" borderId="16" xfId="213" applyFont="1" applyBorder="1" applyAlignment="1" applyProtection="1">
      <alignment horizontal="center"/>
      <protection locked="0" hidden="1"/>
    </xf>
    <xf numFmtId="0" fontId="6" fillId="0" borderId="16" xfId="213" applyFont="1" applyBorder="1" applyAlignment="1" applyProtection="1">
      <alignment horizontal="center"/>
      <protection locked="0" hidden="1"/>
    </xf>
    <xf numFmtId="0" fontId="6" fillId="0" borderId="4" xfId="0" applyFont="1" applyBorder="1" applyAlignment="1">
      <alignment horizontal="center" vertical="center"/>
    </xf>
    <xf numFmtId="0" fontId="6" fillId="0" borderId="9" xfId="0" applyFont="1" applyBorder="1" applyAlignment="1">
      <alignment horizontal="center" vertical="center"/>
    </xf>
    <xf numFmtId="0" fontId="20" fillId="0" borderId="21" xfId="213" applyFont="1" applyBorder="1" applyAlignment="1" applyProtection="1">
      <alignment horizontal="center"/>
      <protection locked="0"/>
    </xf>
    <xf numFmtId="0" fontId="20" fillId="0" borderId="15" xfId="213" applyNumberFormat="1" applyFont="1" applyBorder="1" applyAlignment="1" applyProtection="1">
      <alignment horizontal="center"/>
      <protection locked="0"/>
    </xf>
    <xf numFmtId="0" fontId="3" fillId="0" borderId="101" xfId="213" applyFont="1" applyBorder="1" applyAlignment="1" applyProtection="1">
      <alignment horizontal="center" vertical="center"/>
      <protection locked="0" hidden="1"/>
    </xf>
    <xf numFmtId="0" fontId="3" fillId="0" borderId="98" xfId="213" applyFont="1" applyBorder="1" applyAlignment="1" applyProtection="1">
      <alignment horizontal="center" vertical="center"/>
      <protection locked="0" hidden="1"/>
    </xf>
    <xf numFmtId="0" fontId="3" fillId="0" borderId="100" xfId="213" applyFont="1" applyBorder="1" applyAlignment="1" applyProtection="1">
      <alignment horizontal="center" vertical="center"/>
      <protection locked="0" hidden="1"/>
    </xf>
    <xf numFmtId="0" fontId="3" fillId="0" borderId="106" xfId="213" applyFont="1" applyBorder="1" applyAlignment="1" applyProtection="1">
      <alignment horizontal="center" vertical="center"/>
      <protection locked="0" hidden="1"/>
    </xf>
    <xf numFmtId="0" fontId="9" fillId="0" borderId="134" xfId="0" applyFont="1" applyBorder="1" applyAlignment="1" applyProtection="1">
      <alignment horizontal="center" vertical="top"/>
      <protection locked="0"/>
    </xf>
    <xf numFmtId="0" fontId="9" fillId="0" borderId="14" xfId="0" applyFont="1" applyBorder="1" applyAlignment="1" applyProtection="1">
      <alignment horizontal="center" vertical="top"/>
      <protection locked="0"/>
    </xf>
    <xf numFmtId="0" fontId="9" fillId="0" borderId="145" xfId="0" applyFont="1" applyBorder="1" applyAlignment="1" applyProtection="1">
      <alignment horizontal="center" vertical="top"/>
      <protection locked="0"/>
    </xf>
    <xf numFmtId="0" fontId="9" fillId="0" borderId="133" xfId="0" applyFont="1" applyBorder="1" applyAlignment="1" applyProtection="1">
      <alignment horizontal="center" vertical="top"/>
      <protection locked="0"/>
    </xf>
    <xf numFmtId="0" fontId="9" fillId="0" borderId="147" xfId="0" applyFont="1" applyBorder="1" applyAlignment="1" applyProtection="1">
      <alignment horizontal="center" vertical="top"/>
      <protection locked="0"/>
    </xf>
    <xf numFmtId="0" fontId="9" fillId="0" borderId="167" xfId="0" applyFont="1" applyBorder="1" applyAlignment="1" applyProtection="1">
      <alignment horizontal="center" vertical="top"/>
      <protection locked="0"/>
    </xf>
    <xf numFmtId="0" fontId="9" fillId="0" borderId="168" xfId="0" applyFont="1" applyBorder="1" applyAlignment="1" applyProtection="1">
      <alignment horizontal="center" vertical="top"/>
      <protection locked="0"/>
    </xf>
    <xf numFmtId="0" fontId="9" fillId="0" borderId="169" xfId="0" applyFont="1" applyBorder="1" applyAlignment="1" applyProtection="1">
      <alignment horizontal="center" vertical="top"/>
      <protection locked="0"/>
    </xf>
    <xf numFmtId="0" fontId="19" fillId="0" borderId="145" xfId="0" applyFont="1" applyBorder="1" applyAlignment="1" applyProtection="1">
      <alignment horizontal="center" vertical="center"/>
      <protection locked="0"/>
    </xf>
    <xf numFmtId="0" fontId="19" fillId="0" borderId="133" xfId="0" applyFont="1" applyBorder="1" applyAlignment="1" applyProtection="1">
      <alignment horizontal="center" vertical="center"/>
      <protection locked="0"/>
    </xf>
    <xf numFmtId="0" fontId="19" fillId="0" borderId="147" xfId="0" applyFont="1" applyBorder="1" applyAlignment="1" applyProtection="1">
      <alignment horizontal="center" vertical="center"/>
      <protection locked="0"/>
    </xf>
    <xf numFmtId="0" fontId="25" fillId="0" borderId="145" xfId="0" applyFont="1" applyBorder="1" applyAlignment="1" applyProtection="1">
      <alignment horizontal="center" vertical="center"/>
      <protection locked="0"/>
    </xf>
    <xf numFmtId="0" fontId="25" fillId="0" borderId="133" xfId="0" applyFont="1" applyBorder="1" applyAlignment="1" applyProtection="1">
      <alignment horizontal="center" vertical="center"/>
      <protection locked="0"/>
    </xf>
    <xf numFmtId="0" fontId="25" fillId="0" borderId="147" xfId="0" applyFont="1" applyBorder="1" applyAlignment="1" applyProtection="1">
      <alignment horizontal="center" vertical="center"/>
      <protection locked="0"/>
    </xf>
    <xf numFmtId="0" fontId="19" fillId="0" borderId="167" xfId="0" applyFont="1" applyBorder="1" applyAlignment="1" applyProtection="1">
      <alignment horizontal="center" vertical="center"/>
      <protection locked="0"/>
    </xf>
    <xf numFmtId="0" fontId="19" fillId="0" borderId="168" xfId="0" applyFont="1" applyBorder="1" applyAlignment="1" applyProtection="1">
      <alignment horizontal="center" vertical="center"/>
      <protection locked="0"/>
    </xf>
    <xf numFmtId="0" fontId="19" fillId="0" borderId="169" xfId="0" applyFont="1" applyBorder="1" applyAlignment="1" applyProtection="1">
      <alignment horizontal="center" vertical="center"/>
      <protection locked="0"/>
    </xf>
    <xf numFmtId="0" fontId="25" fillId="0" borderId="167" xfId="0" applyFont="1" applyBorder="1" applyAlignment="1" applyProtection="1">
      <alignment horizontal="center" vertical="center"/>
      <protection locked="0"/>
    </xf>
    <xf numFmtId="0" fontId="25" fillId="0" borderId="168" xfId="0" applyFont="1" applyBorder="1" applyAlignment="1" applyProtection="1">
      <alignment horizontal="center" vertical="center"/>
      <protection locked="0"/>
    </xf>
    <xf numFmtId="0" fontId="25" fillId="0" borderId="169" xfId="0" applyFont="1" applyBorder="1" applyAlignment="1" applyProtection="1">
      <alignment horizontal="center" vertical="center"/>
      <protection locked="0"/>
    </xf>
    <xf numFmtId="0" fontId="25" fillId="0" borderId="134" xfId="0" applyFont="1" applyBorder="1" applyAlignment="1" applyProtection="1">
      <alignment vertical="center"/>
      <protection locked="0"/>
    </xf>
    <xf numFmtId="0" fontId="6" fillId="0" borderId="14" xfId="0" applyFont="1" applyBorder="1" applyAlignment="1" applyProtection="1">
      <alignment vertical="center"/>
      <protection locked="0"/>
    </xf>
    <xf numFmtId="0" fontId="56" fillId="13" borderId="133" xfId="0" applyFont="1" applyFill="1" applyBorder="1" applyAlignment="1">
      <alignment horizontal="left" vertical="top" wrapText="1"/>
    </xf>
    <xf numFmtId="0" fontId="56" fillId="13" borderId="0" xfId="0" applyFont="1" applyFill="1" applyBorder="1" applyAlignment="1">
      <alignment horizontal="left" vertical="top" wrapText="1"/>
    </xf>
    <xf numFmtId="0" fontId="56" fillId="13" borderId="147" xfId="0" applyFont="1" applyFill="1" applyBorder="1" applyAlignment="1">
      <alignment horizontal="left" vertical="top" wrapText="1"/>
    </xf>
    <xf numFmtId="0" fontId="56" fillId="13" borderId="134" xfId="0" applyFont="1" applyFill="1" applyBorder="1" applyAlignment="1">
      <alignment horizontal="left" vertical="top" wrapText="1"/>
    </xf>
    <xf numFmtId="0" fontId="56" fillId="13" borderId="14" xfId="0" applyFont="1" applyFill="1" applyBorder="1" applyAlignment="1">
      <alignment horizontal="left" vertical="top" wrapText="1"/>
    </xf>
    <xf numFmtId="0" fontId="56" fillId="13" borderId="167" xfId="0" applyFont="1" applyFill="1" applyBorder="1" applyAlignment="1">
      <alignment horizontal="left" vertical="top" wrapText="1"/>
    </xf>
    <xf numFmtId="0" fontId="56" fillId="13" borderId="168" xfId="0" applyFont="1" applyFill="1" applyBorder="1" applyAlignment="1">
      <alignment horizontal="left" vertical="top" wrapText="1"/>
    </xf>
    <xf numFmtId="0" fontId="56" fillId="13" borderId="169" xfId="0" applyFont="1" applyFill="1" applyBorder="1" applyAlignment="1">
      <alignment horizontal="left" vertical="top" wrapText="1"/>
    </xf>
  </cellXfs>
  <cellStyles count="261">
    <cellStyle name="???????????" xfId="217" xr:uid="{00000000-0005-0000-0000-000000000000}"/>
    <cellStyle name="????????????? ???????????" xfId="218" xr:uid="{00000000-0005-0000-0000-000001000000}"/>
    <cellStyle name="Besuchter Hyperlink" xfId="219" xr:uid="{00000000-0005-0000-0000-000002000000}"/>
    <cellStyle name="Collegamento ipertestuale" xfId="220" xr:uid="{00000000-0005-0000-0000-000003000000}"/>
    <cellStyle name="Collegamento ipertestuale visitato" xfId="221" xr:uid="{00000000-0005-0000-0000-000004000000}"/>
    <cellStyle name="Comma 2" xfId="2" xr:uid="{00000000-0005-0000-0000-000005000000}"/>
    <cellStyle name="Comma 2 2" xfId="3" xr:uid="{00000000-0005-0000-0000-000006000000}"/>
    <cellStyle name="Comma 2 2 2" xfId="4" xr:uid="{00000000-0005-0000-0000-000007000000}"/>
    <cellStyle name="Comma 2 2 2 2" xfId="5" xr:uid="{00000000-0005-0000-0000-000008000000}"/>
    <cellStyle name="Comma 2 2 2 2 2" xfId="6" xr:uid="{00000000-0005-0000-0000-000009000000}"/>
    <cellStyle name="Comma 2 2 2 2 2 2" xfId="7" xr:uid="{00000000-0005-0000-0000-00000A000000}"/>
    <cellStyle name="Comma 2 2 2 2 3" xfId="8" xr:uid="{00000000-0005-0000-0000-00000B000000}"/>
    <cellStyle name="Comma 2 2 2 3" xfId="9" xr:uid="{00000000-0005-0000-0000-00000C000000}"/>
    <cellStyle name="Comma 2 2 2 3 2" xfId="10" xr:uid="{00000000-0005-0000-0000-00000D000000}"/>
    <cellStyle name="Comma 2 2 2 3 2 2" xfId="11" xr:uid="{00000000-0005-0000-0000-00000E000000}"/>
    <cellStyle name="Comma 2 2 2 3 3" xfId="12" xr:uid="{00000000-0005-0000-0000-00000F000000}"/>
    <cellStyle name="Comma 2 2 2 4" xfId="13" xr:uid="{00000000-0005-0000-0000-000010000000}"/>
    <cellStyle name="Comma 2 2 2 4 2" xfId="14" xr:uid="{00000000-0005-0000-0000-000011000000}"/>
    <cellStyle name="Comma 2 2 2 4 2 2" xfId="15" xr:uid="{00000000-0005-0000-0000-000012000000}"/>
    <cellStyle name="Comma 2 2 2 4 3" xfId="16" xr:uid="{00000000-0005-0000-0000-000013000000}"/>
    <cellStyle name="Comma 2 2 2 5" xfId="17" xr:uid="{00000000-0005-0000-0000-000014000000}"/>
    <cellStyle name="Comma 2 2 2 5 2" xfId="18" xr:uid="{00000000-0005-0000-0000-000015000000}"/>
    <cellStyle name="Comma 2 2 2 6" xfId="19" xr:uid="{00000000-0005-0000-0000-000016000000}"/>
    <cellStyle name="Comma 2 2 3" xfId="20" xr:uid="{00000000-0005-0000-0000-000017000000}"/>
    <cellStyle name="Comma 2 2 3 2" xfId="21" xr:uid="{00000000-0005-0000-0000-000018000000}"/>
    <cellStyle name="Comma 2 2 3 2 2" xfId="22" xr:uid="{00000000-0005-0000-0000-000019000000}"/>
    <cellStyle name="Comma 2 2 3 2 2 2" xfId="23" xr:uid="{00000000-0005-0000-0000-00001A000000}"/>
    <cellStyle name="Comma 2 2 3 2 3" xfId="24" xr:uid="{00000000-0005-0000-0000-00001B000000}"/>
    <cellStyle name="Comma 2 2 3 3" xfId="25" xr:uid="{00000000-0005-0000-0000-00001C000000}"/>
    <cellStyle name="Comma 2 2 3 3 2" xfId="26" xr:uid="{00000000-0005-0000-0000-00001D000000}"/>
    <cellStyle name="Comma 2 2 3 3 2 2" xfId="27" xr:uid="{00000000-0005-0000-0000-00001E000000}"/>
    <cellStyle name="Comma 2 2 3 3 3" xfId="28" xr:uid="{00000000-0005-0000-0000-00001F000000}"/>
    <cellStyle name="Comma 2 2 3 4" xfId="29" xr:uid="{00000000-0005-0000-0000-000020000000}"/>
    <cellStyle name="Comma 2 2 3 4 2" xfId="30" xr:uid="{00000000-0005-0000-0000-000021000000}"/>
    <cellStyle name="Comma 2 2 3 4 2 2" xfId="31" xr:uid="{00000000-0005-0000-0000-000022000000}"/>
    <cellStyle name="Comma 2 2 3 4 3" xfId="32" xr:uid="{00000000-0005-0000-0000-000023000000}"/>
    <cellStyle name="Comma 2 2 3 5" xfId="33" xr:uid="{00000000-0005-0000-0000-000024000000}"/>
    <cellStyle name="Comma 2 2 3 5 2" xfId="34" xr:uid="{00000000-0005-0000-0000-000025000000}"/>
    <cellStyle name="Comma 2 2 3 6" xfId="35" xr:uid="{00000000-0005-0000-0000-000026000000}"/>
    <cellStyle name="Comma 2 2 4" xfId="36" xr:uid="{00000000-0005-0000-0000-000027000000}"/>
    <cellStyle name="Comma 2 2 4 2" xfId="37" xr:uid="{00000000-0005-0000-0000-000028000000}"/>
    <cellStyle name="Comma 2 2 4 2 2" xfId="38" xr:uid="{00000000-0005-0000-0000-000029000000}"/>
    <cellStyle name="Comma 2 2 4 3" xfId="39" xr:uid="{00000000-0005-0000-0000-00002A000000}"/>
    <cellStyle name="Comma 2 2 5" xfId="40" xr:uid="{00000000-0005-0000-0000-00002B000000}"/>
    <cellStyle name="Comma 2 2 5 2" xfId="41" xr:uid="{00000000-0005-0000-0000-00002C000000}"/>
    <cellStyle name="Comma 2 2 5 2 2" xfId="42" xr:uid="{00000000-0005-0000-0000-00002D000000}"/>
    <cellStyle name="Comma 2 2 5 3" xfId="43" xr:uid="{00000000-0005-0000-0000-00002E000000}"/>
    <cellStyle name="Comma 2 2 6" xfId="44" xr:uid="{00000000-0005-0000-0000-00002F000000}"/>
    <cellStyle name="Comma 2 2 6 2" xfId="45" xr:uid="{00000000-0005-0000-0000-000030000000}"/>
    <cellStyle name="Comma 2 2 6 2 2" xfId="46" xr:uid="{00000000-0005-0000-0000-000031000000}"/>
    <cellStyle name="Comma 2 2 6 3" xfId="47" xr:uid="{00000000-0005-0000-0000-000032000000}"/>
    <cellStyle name="Comma 2 2 7" xfId="48" xr:uid="{00000000-0005-0000-0000-000033000000}"/>
    <cellStyle name="Comma 2 2 7 2" xfId="49" xr:uid="{00000000-0005-0000-0000-000034000000}"/>
    <cellStyle name="Comma 2 2 8" xfId="50" xr:uid="{00000000-0005-0000-0000-000035000000}"/>
    <cellStyle name="Comma 2 3" xfId="51" xr:uid="{00000000-0005-0000-0000-000036000000}"/>
    <cellStyle name="Comma 2 3 2" xfId="52" xr:uid="{00000000-0005-0000-0000-000037000000}"/>
    <cellStyle name="Comma 2 3 2 2" xfId="53" xr:uid="{00000000-0005-0000-0000-000038000000}"/>
    <cellStyle name="Comma 2 3 2 2 2" xfId="54" xr:uid="{00000000-0005-0000-0000-000039000000}"/>
    <cellStyle name="Comma 2 3 2 3" xfId="55" xr:uid="{00000000-0005-0000-0000-00003A000000}"/>
    <cellStyle name="Comma 2 3 3" xfId="56" xr:uid="{00000000-0005-0000-0000-00003B000000}"/>
    <cellStyle name="Comma 2 3 3 2" xfId="57" xr:uid="{00000000-0005-0000-0000-00003C000000}"/>
    <cellStyle name="Comma 2 3 3 2 2" xfId="58" xr:uid="{00000000-0005-0000-0000-00003D000000}"/>
    <cellStyle name="Comma 2 3 3 3" xfId="59" xr:uid="{00000000-0005-0000-0000-00003E000000}"/>
    <cellStyle name="Comma 2 3 4" xfId="60" xr:uid="{00000000-0005-0000-0000-00003F000000}"/>
    <cellStyle name="Comma 2 3 4 2" xfId="61" xr:uid="{00000000-0005-0000-0000-000040000000}"/>
    <cellStyle name="Comma 2 3 4 2 2" xfId="62" xr:uid="{00000000-0005-0000-0000-000041000000}"/>
    <cellStyle name="Comma 2 3 4 3" xfId="63" xr:uid="{00000000-0005-0000-0000-000042000000}"/>
    <cellStyle name="Comma 2 3 5" xfId="64" xr:uid="{00000000-0005-0000-0000-000043000000}"/>
    <cellStyle name="Comma 2 3 5 2" xfId="65" xr:uid="{00000000-0005-0000-0000-000044000000}"/>
    <cellStyle name="Comma 2 3 6" xfId="66" xr:uid="{00000000-0005-0000-0000-000045000000}"/>
    <cellStyle name="Comma 2 4" xfId="67" xr:uid="{00000000-0005-0000-0000-000046000000}"/>
    <cellStyle name="Comma 2 4 2" xfId="68" xr:uid="{00000000-0005-0000-0000-000047000000}"/>
    <cellStyle name="Comma 2 4 2 2" xfId="69" xr:uid="{00000000-0005-0000-0000-000048000000}"/>
    <cellStyle name="Comma 2 4 2 2 2" xfId="70" xr:uid="{00000000-0005-0000-0000-000049000000}"/>
    <cellStyle name="Comma 2 4 2 3" xfId="71" xr:uid="{00000000-0005-0000-0000-00004A000000}"/>
    <cellStyle name="Comma 2 4 3" xfId="72" xr:uid="{00000000-0005-0000-0000-00004B000000}"/>
    <cellStyle name="Comma 2 4 3 2" xfId="73" xr:uid="{00000000-0005-0000-0000-00004C000000}"/>
    <cellStyle name="Comma 2 4 3 2 2" xfId="74" xr:uid="{00000000-0005-0000-0000-00004D000000}"/>
    <cellStyle name="Comma 2 4 3 3" xfId="75" xr:uid="{00000000-0005-0000-0000-00004E000000}"/>
    <cellStyle name="Comma 2 4 4" xfId="76" xr:uid="{00000000-0005-0000-0000-00004F000000}"/>
    <cellStyle name="Comma 2 4 4 2" xfId="77" xr:uid="{00000000-0005-0000-0000-000050000000}"/>
    <cellStyle name="Comma 2 4 4 2 2" xfId="78" xr:uid="{00000000-0005-0000-0000-000051000000}"/>
    <cellStyle name="Comma 2 4 4 3" xfId="79" xr:uid="{00000000-0005-0000-0000-000052000000}"/>
    <cellStyle name="Comma 2 4 5" xfId="80" xr:uid="{00000000-0005-0000-0000-000053000000}"/>
    <cellStyle name="Comma 2 4 5 2" xfId="81" xr:uid="{00000000-0005-0000-0000-000054000000}"/>
    <cellStyle name="Comma 2 4 6" xfId="82" xr:uid="{00000000-0005-0000-0000-000055000000}"/>
    <cellStyle name="Comma 2 5" xfId="83" xr:uid="{00000000-0005-0000-0000-000056000000}"/>
    <cellStyle name="Comma 2 5 2" xfId="84" xr:uid="{00000000-0005-0000-0000-000057000000}"/>
    <cellStyle name="Comma 2 5 2 2" xfId="85" xr:uid="{00000000-0005-0000-0000-000058000000}"/>
    <cellStyle name="Comma 2 5 3" xfId="86" xr:uid="{00000000-0005-0000-0000-000059000000}"/>
    <cellStyle name="Comma 2 6" xfId="87" xr:uid="{00000000-0005-0000-0000-00005A000000}"/>
    <cellStyle name="Comma 2 6 2" xfId="88" xr:uid="{00000000-0005-0000-0000-00005B000000}"/>
    <cellStyle name="Comma 2 6 2 2" xfId="89" xr:uid="{00000000-0005-0000-0000-00005C000000}"/>
    <cellStyle name="Comma 2 6 3" xfId="90" xr:uid="{00000000-0005-0000-0000-00005D000000}"/>
    <cellStyle name="Comma 2 7" xfId="91" xr:uid="{00000000-0005-0000-0000-00005E000000}"/>
    <cellStyle name="Comma 2 7 2" xfId="92" xr:uid="{00000000-0005-0000-0000-00005F000000}"/>
    <cellStyle name="Comma 2 7 2 2" xfId="93" xr:uid="{00000000-0005-0000-0000-000060000000}"/>
    <cellStyle name="Comma 2 7 3" xfId="94" xr:uid="{00000000-0005-0000-0000-000061000000}"/>
    <cellStyle name="Comma 2 8" xfId="95" xr:uid="{00000000-0005-0000-0000-000062000000}"/>
    <cellStyle name="Comma 2 8 2" xfId="96" xr:uid="{00000000-0005-0000-0000-000063000000}"/>
    <cellStyle name="Comma 2 9" xfId="97" xr:uid="{00000000-0005-0000-0000-000064000000}"/>
    <cellStyle name="Comma 3" xfId="98" xr:uid="{00000000-0005-0000-0000-000065000000}"/>
    <cellStyle name="Comma 4" xfId="222" xr:uid="{00000000-0005-0000-0000-000066000000}"/>
    <cellStyle name="Comma0" xfId="223" xr:uid="{00000000-0005-0000-0000-000067000000}"/>
    <cellStyle name="Currency 2" xfId="224" xr:uid="{00000000-0005-0000-0000-000068000000}"/>
    <cellStyle name="Currency 2 2" xfId="225" xr:uid="{00000000-0005-0000-0000-000069000000}"/>
    <cellStyle name="Currency0" xfId="226" xr:uid="{00000000-0005-0000-0000-00006A000000}"/>
    <cellStyle name="Date" xfId="99" xr:uid="{00000000-0005-0000-0000-00006B000000}"/>
    <cellStyle name="Date - Style1" xfId="100" xr:uid="{00000000-0005-0000-0000-00006C000000}"/>
    <cellStyle name="Euro" xfId="227" xr:uid="{00000000-0005-0000-0000-00006D000000}"/>
    <cellStyle name="Fixed" xfId="101" xr:uid="{00000000-0005-0000-0000-00006E000000}"/>
    <cellStyle name="Headin - Style2" xfId="102" xr:uid="{00000000-0005-0000-0000-00006F000000}"/>
    <cellStyle name="HEADING" xfId="228" xr:uid="{00000000-0005-0000-0000-000070000000}"/>
    <cellStyle name="Heading1" xfId="103" xr:uid="{00000000-0005-0000-0000-000071000000}"/>
    <cellStyle name="Heading2" xfId="104" xr:uid="{00000000-0005-0000-0000-000072000000}"/>
    <cellStyle name="Hyperlink 2" xfId="229" xr:uid="{00000000-0005-0000-0000-000073000000}"/>
    <cellStyle name="Iau?iue_sna23" xfId="230" xr:uid="{00000000-0005-0000-0000-000074000000}"/>
    <cellStyle name="Migliaia (0)_Engine Data (1)" xfId="231" xr:uid="{00000000-0005-0000-0000-000076000000}"/>
    <cellStyle name="Migliaia_Engine Data (1)" xfId="232" xr:uid="{00000000-0005-0000-0000-000077000000}"/>
    <cellStyle name="Normal" xfId="0" builtinId="0"/>
    <cellStyle name="Normal 11" xfId="260" xr:uid="{EADE0F60-145C-4AD7-AE09-FE711A946E0B}"/>
    <cellStyle name="Normal 2" xfId="105" xr:uid="{00000000-0005-0000-0000-000079000000}"/>
    <cellStyle name="Normal 2 2" xfId="106" xr:uid="{00000000-0005-0000-0000-00007A000000}"/>
    <cellStyle name="Normal 2 2 2" xfId="107" xr:uid="{00000000-0005-0000-0000-00007B000000}"/>
    <cellStyle name="Normal 2 2 2 2" xfId="108" xr:uid="{00000000-0005-0000-0000-00007C000000}"/>
    <cellStyle name="Normal 2 2 2 2 2" xfId="109" xr:uid="{00000000-0005-0000-0000-00007D000000}"/>
    <cellStyle name="Normal 2 2 2 2 3" xfId="110" xr:uid="{00000000-0005-0000-0000-00007E000000}"/>
    <cellStyle name="Normal 2 2 2 3" xfId="111" xr:uid="{00000000-0005-0000-0000-00007F000000}"/>
    <cellStyle name="Normal 2 3" xfId="112" xr:uid="{00000000-0005-0000-0000-000080000000}"/>
    <cellStyle name="Normal 2 3 2" xfId="113" xr:uid="{00000000-0005-0000-0000-000081000000}"/>
    <cellStyle name="Normal 2 3 3" xfId="114" xr:uid="{00000000-0005-0000-0000-000082000000}"/>
    <cellStyle name="Normal 2 3 3 2" xfId="115" xr:uid="{00000000-0005-0000-0000-000083000000}"/>
    <cellStyle name="Normal 3" xfId="116" xr:uid="{00000000-0005-0000-0000-000084000000}"/>
    <cellStyle name="Normal 3 2" xfId="117" xr:uid="{00000000-0005-0000-0000-000085000000}"/>
    <cellStyle name="Normal 3 2 2" xfId="118" xr:uid="{00000000-0005-0000-0000-000086000000}"/>
    <cellStyle name="Normal 3 2 2 2" xfId="119" xr:uid="{00000000-0005-0000-0000-000087000000}"/>
    <cellStyle name="Normal 3 2 2 2 2" xfId="120" xr:uid="{00000000-0005-0000-0000-000088000000}"/>
    <cellStyle name="Normal 3 2 2 2 2 2" xfId="121" xr:uid="{00000000-0005-0000-0000-000089000000}"/>
    <cellStyle name="Normal 3 2 2 2 3" xfId="122" xr:uid="{00000000-0005-0000-0000-00008A000000}"/>
    <cellStyle name="Normal 3 2 2 3" xfId="123" xr:uid="{00000000-0005-0000-0000-00008B000000}"/>
    <cellStyle name="Normal 3 2 2 3 2" xfId="124" xr:uid="{00000000-0005-0000-0000-00008C000000}"/>
    <cellStyle name="Normal 3 2 2 3 2 2" xfId="125" xr:uid="{00000000-0005-0000-0000-00008D000000}"/>
    <cellStyle name="Normal 3 2 2 3 3" xfId="126" xr:uid="{00000000-0005-0000-0000-00008E000000}"/>
    <cellStyle name="Normal 3 2 2 4" xfId="127" xr:uid="{00000000-0005-0000-0000-00008F000000}"/>
    <cellStyle name="Normal 3 2 2 4 2" xfId="128" xr:uid="{00000000-0005-0000-0000-000090000000}"/>
    <cellStyle name="Normal 3 2 2 4 2 2" xfId="129" xr:uid="{00000000-0005-0000-0000-000091000000}"/>
    <cellStyle name="Normal 3 2 2 4 3" xfId="130" xr:uid="{00000000-0005-0000-0000-000092000000}"/>
    <cellStyle name="Normal 3 2 2 5" xfId="131" xr:uid="{00000000-0005-0000-0000-000093000000}"/>
    <cellStyle name="Normal 3 2 2 5 2" xfId="132" xr:uid="{00000000-0005-0000-0000-000094000000}"/>
    <cellStyle name="Normal 3 2 2 6" xfId="133" xr:uid="{00000000-0005-0000-0000-000095000000}"/>
    <cellStyle name="Normal 3 2 3" xfId="134" xr:uid="{00000000-0005-0000-0000-000096000000}"/>
    <cellStyle name="Normal 3 2 3 2" xfId="135" xr:uid="{00000000-0005-0000-0000-000097000000}"/>
    <cellStyle name="Normal 3 2 3 2 2" xfId="136" xr:uid="{00000000-0005-0000-0000-000098000000}"/>
    <cellStyle name="Normal 3 2 3 2 2 2" xfId="137" xr:uid="{00000000-0005-0000-0000-000099000000}"/>
    <cellStyle name="Normal 3 2 3 2 3" xfId="138" xr:uid="{00000000-0005-0000-0000-00009A000000}"/>
    <cellStyle name="Normal 3 2 3 3" xfId="139" xr:uid="{00000000-0005-0000-0000-00009B000000}"/>
    <cellStyle name="Normal 3 2 3 3 2" xfId="140" xr:uid="{00000000-0005-0000-0000-00009C000000}"/>
    <cellStyle name="Normal 3 2 3 3 2 2" xfId="141" xr:uid="{00000000-0005-0000-0000-00009D000000}"/>
    <cellStyle name="Normal 3 2 3 3 3" xfId="142" xr:uid="{00000000-0005-0000-0000-00009E000000}"/>
    <cellStyle name="Normal 3 2 3 4" xfId="143" xr:uid="{00000000-0005-0000-0000-00009F000000}"/>
    <cellStyle name="Normal 3 2 3 4 2" xfId="144" xr:uid="{00000000-0005-0000-0000-0000A0000000}"/>
    <cellStyle name="Normal 3 2 3 4 2 2" xfId="145" xr:uid="{00000000-0005-0000-0000-0000A1000000}"/>
    <cellStyle name="Normal 3 2 3 4 3" xfId="146" xr:uid="{00000000-0005-0000-0000-0000A2000000}"/>
    <cellStyle name="Normal 3 2 3 5" xfId="147" xr:uid="{00000000-0005-0000-0000-0000A3000000}"/>
    <cellStyle name="Normal 3 2 3 5 2" xfId="148" xr:uid="{00000000-0005-0000-0000-0000A4000000}"/>
    <cellStyle name="Normal 3 2 3 6" xfId="149" xr:uid="{00000000-0005-0000-0000-0000A5000000}"/>
    <cellStyle name="Normal 3 2 4" xfId="150" xr:uid="{00000000-0005-0000-0000-0000A6000000}"/>
    <cellStyle name="Normal 3 2 4 2" xfId="151" xr:uid="{00000000-0005-0000-0000-0000A7000000}"/>
    <cellStyle name="Normal 3 2 4 2 2" xfId="152" xr:uid="{00000000-0005-0000-0000-0000A8000000}"/>
    <cellStyle name="Normal 3 2 4 3" xfId="153" xr:uid="{00000000-0005-0000-0000-0000A9000000}"/>
    <cellStyle name="Normal 3 2 5" xfId="154" xr:uid="{00000000-0005-0000-0000-0000AA000000}"/>
    <cellStyle name="Normal 3 2 5 2" xfId="155" xr:uid="{00000000-0005-0000-0000-0000AB000000}"/>
    <cellStyle name="Normal 3 2 5 2 2" xfId="156" xr:uid="{00000000-0005-0000-0000-0000AC000000}"/>
    <cellStyle name="Normal 3 2 5 3" xfId="157" xr:uid="{00000000-0005-0000-0000-0000AD000000}"/>
    <cellStyle name="Normal 3 2 6" xfId="158" xr:uid="{00000000-0005-0000-0000-0000AE000000}"/>
    <cellStyle name="Normal 3 2 6 2" xfId="159" xr:uid="{00000000-0005-0000-0000-0000AF000000}"/>
    <cellStyle name="Normal 3 2 6 2 2" xfId="160" xr:uid="{00000000-0005-0000-0000-0000B0000000}"/>
    <cellStyle name="Normal 3 2 6 3" xfId="161" xr:uid="{00000000-0005-0000-0000-0000B1000000}"/>
    <cellStyle name="Normal 3 2 7" xfId="162" xr:uid="{00000000-0005-0000-0000-0000B2000000}"/>
    <cellStyle name="Normal 3 2 7 2" xfId="163" xr:uid="{00000000-0005-0000-0000-0000B3000000}"/>
    <cellStyle name="Normal 3 2 8" xfId="164" xr:uid="{00000000-0005-0000-0000-0000B4000000}"/>
    <cellStyle name="Normal 3 2 9" xfId="233" xr:uid="{00000000-0005-0000-0000-0000B5000000}"/>
    <cellStyle name="Normal 3 3" xfId="165" xr:uid="{00000000-0005-0000-0000-0000B6000000}"/>
    <cellStyle name="Normal 3 3 2" xfId="166" xr:uid="{00000000-0005-0000-0000-0000B7000000}"/>
    <cellStyle name="Normal 3 3 2 2" xfId="167" xr:uid="{00000000-0005-0000-0000-0000B8000000}"/>
    <cellStyle name="Normal 3 3 2 2 2" xfId="168" xr:uid="{00000000-0005-0000-0000-0000B9000000}"/>
    <cellStyle name="Normal 3 3 2 3" xfId="169" xr:uid="{00000000-0005-0000-0000-0000BA000000}"/>
    <cellStyle name="Normal 3 3 3" xfId="170" xr:uid="{00000000-0005-0000-0000-0000BB000000}"/>
    <cellStyle name="Normal 3 3 3 2" xfId="171" xr:uid="{00000000-0005-0000-0000-0000BC000000}"/>
    <cellStyle name="Normal 3 3 3 2 2" xfId="172" xr:uid="{00000000-0005-0000-0000-0000BD000000}"/>
    <cellStyle name="Normal 3 3 3 3" xfId="173" xr:uid="{00000000-0005-0000-0000-0000BE000000}"/>
    <cellStyle name="Normal 3 3 4" xfId="174" xr:uid="{00000000-0005-0000-0000-0000BF000000}"/>
    <cellStyle name="Normal 3 3 4 2" xfId="175" xr:uid="{00000000-0005-0000-0000-0000C0000000}"/>
    <cellStyle name="Normal 3 3 4 2 2" xfId="176" xr:uid="{00000000-0005-0000-0000-0000C1000000}"/>
    <cellStyle name="Normal 3 3 4 3" xfId="177" xr:uid="{00000000-0005-0000-0000-0000C2000000}"/>
    <cellStyle name="Normal 3 3 5" xfId="178" xr:uid="{00000000-0005-0000-0000-0000C3000000}"/>
    <cellStyle name="Normal 3 3 5 2" xfId="179" xr:uid="{00000000-0005-0000-0000-0000C4000000}"/>
    <cellStyle name="Normal 3 3 6" xfId="180" xr:uid="{00000000-0005-0000-0000-0000C5000000}"/>
    <cellStyle name="Normal 3 4" xfId="181" xr:uid="{00000000-0005-0000-0000-0000C6000000}"/>
    <cellStyle name="Normal 3 4 2" xfId="182" xr:uid="{00000000-0005-0000-0000-0000C7000000}"/>
    <cellStyle name="Normal 3 4 2 2" xfId="183" xr:uid="{00000000-0005-0000-0000-0000C8000000}"/>
    <cellStyle name="Normal 3 4 2 2 2" xfId="184" xr:uid="{00000000-0005-0000-0000-0000C9000000}"/>
    <cellStyle name="Normal 3 4 2 3" xfId="185" xr:uid="{00000000-0005-0000-0000-0000CA000000}"/>
    <cellStyle name="Normal 3 4 3" xfId="186" xr:uid="{00000000-0005-0000-0000-0000CB000000}"/>
    <cellStyle name="Normal 3 4 3 2" xfId="187" xr:uid="{00000000-0005-0000-0000-0000CC000000}"/>
    <cellStyle name="Normal 3 4 3 2 2" xfId="188" xr:uid="{00000000-0005-0000-0000-0000CD000000}"/>
    <cellStyle name="Normal 3 4 3 3" xfId="189" xr:uid="{00000000-0005-0000-0000-0000CE000000}"/>
    <cellStyle name="Normal 3 4 4" xfId="190" xr:uid="{00000000-0005-0000-0000-0000CF000000}"/>
    <cellStyle name="Normal 3 4 4 2" xfId="191" xr:uid="{00000000-0005-0000-0000-0000D0000000}"/>
    <cellStyle name="Normal 3 4 4 2 2" xfId="192" xr:uid="{00000000-0005-0000-0000-0000D1000000}"/>
    <cellStyle name="Normal 3 4 4 3" xfId="193" xr:uid="{00000000-0005-0000-0000-0000D2000000}"/>
    <cellStyle name="Normal 3 4 5" xfId="194" xr:uid="{00000000-0005-0000-0000-0000D3000000}"/>
    <cellStyle name="Normal 3 4 5 2" xfId="195" xr:uid="{00000000-0005-0000-0000-0000D4000000}"/>
    <cellStyle name="Normal 3 4 6" xfId="196" xr:uid="{00000000-0005-0000-0000-0000D5000000}"/>
    <cellStyle name="Normal 3 5" xfId="197" xr:uid="{00000000-0005-0000-0000-0000D6000000}"/>
    <cellStyle name="Normal 3 5 2" xfId="198" xr:uid="{00000000-0005-0000-0000-0000D7000000}"/>
    <cellStyle name="Normal 3 5 2 2" xfId="199" xr:uid="{00000000-0005-0000-0000-0000D8000000}"/>
    <cellStyle name="Normal 3 5 3" xfId="200" xr:uid="{00000000-0005-0000-0000-0000D9000000}"/>
    <cellStyle name="Normal 3 6" xfId="201" xr:uid="{00000000-0005-0000-0000-0000DA000000}"/>
    <cellStyle name="Normal 3 6 2" xfId="202" xr:uid="{00000000-0005-0000-0000-0000DB000000}"/>
    <cellStyle name="Normal 3 6 2 2" xfId="203" xr:uid="{00000000-0005-0000-0000-0000DC000000}"/>
    <cellStyle name="Normal 3 6 3" xfId="204" xr:uid="{00000000-0005-0000-0000-0000DD000000}"/>
    <cellStyle name="Normal 3 7" xfId="205" xr:uid="{00000000-0005-0000-0000-0000DE000000}"/>
    <cellStyle name="Normal 3 7 2" xfId="206" xr:uid="{00000000-0005-0000-0000-0000DF000000}"/>
    <cellStyle name="Normal 3 7 2 2" xfId="207" xr:uid="{00000000-0005-0000-0000-0000E0000000}"/>
    <cellStyle name="Normal 3 7 3" xfId="208" xr:uid="{00000000-0005-0000-0000-0000E1000000}"/>
    <cellStyle name="Normal 3 8" xfId="209" xr:uid="{00000000-0005-0000-0000-0000E2000000}"/>
    <cellStyle name="Normal 3 8 2" xfId="210" xr:uid="{00000000-0005-0000-0000-0000E3000000}"/>
    <cellStyle name="Normal 3 9" xfId="211" xr:uid="{00000000-0005-0000-0000-0000E4000000}"/>
    <cellStyle name="Normal 4" xfId="212" xr:uid="{00000000-0005-0000-0000-0000E5000000}"/>
    <cellStyle name="Normal 4 2" xfId="234" xr:uid="{00000000-0005-0000-0000-0000E6000000}"/>
    <cellStyle name="Normal 4 3" xfId="235" xr:uid="{00000000-0005-0000-0000-0000E7000000}"/>
    <cellStyle name="Normal 5" xfId="213" xr:uid="{00000000-0005-0000-0000-0000E8000000}"/>
    <cellStyle name="Normal 6" xfId="236" xr:uid="{00000000-0005-0000-0000-0000E9000000}"/>
    <cellStyle name="Normal 6 2" xfId="237" xr:uid="{00000000-0005-0000-0000-0000EA000000}"/>
    <cellStyle name="Normal 6 3" xfId="238" xr:uid="{00000000-0005-0000-0000-0000EB000000}"/>
    <cellStyle name="Normal_CARGO_MODULE PARTA" xfId="216" xr:uid="{00000000-0005-0000-0000-0000EC000000}"/>
    <cellStyle name="Normal_FORM035" xfId="1" xr:uid="{00000000-0005-0000-0000-0000ED000000}"/>
    <cellStyle name="Normale_Engine Data (1)" xfId="239" xr:uid="{00000000-0005-0000-0000-0000EE000000}"/>
    <cellStyle name="Normalny_NOTICE OF READINESS" xfId="240" xr:uid="{00000000-0005-0000-0000-0000EF000000}"/>
    <cellStyle name="Notice of Readiness" xfId="241" xr:uid="{00000000-0005-0000-0000-0000F0000000}"/>
    <cellStyle name="Ouny?e [0]_sna23" xfId="242" xr:uid="{00000000-0005-0000-0000-0000F1000000}"/>
    <cellStyle name="Ouny?e_sna23" xfId="243" xr:uid="{00000000-0005-0000-0000-0000F2000000}"/>
    <cellStyle name="Percent 2" xfId="214" xr:uid="{00000000-0005-0000-0000-0000F3000000}"/>
    <cellStyle name="Percent 3" xfId="244" xr:uid="{00000000-0005-0000-0000-0000F4000000}"/>
    <cellStyle name="protect" xfId="245" xr:uid="{00000000-0005-0000-0000-0000F5000000}"/>
    <cellStyle name="Standard_A-Hummel (2)" xfId="246" xr:uid="{00000000-0005-0000-0000-0000F6000000}"/>
    <cellStyle name="SwissF" xfId="215" xr:uid="{00000000-0005-0000-0000-0000F7000000}"/>
    <cellStyle name="Valuta (0)_Engine Data (1)" xfId="247" xr:uid="{00000000-0005-0000-0000-0000F8000000}"/>
    <cellStyle name="Valuta_Ark1" xfId="248" xr:uid="{00000000-0005-0000-0000-0000F9000000}"/>
    <cellStyle name="Y" xfId="249" xr:uid="{00000000-0005-0000-0000-0000FA000000}"/>
    <cellStyle name="yellow" xfId="250" xr:uid="{00000000-0005-0000-0000-0000FB000000}"/>
    <cellStyle name="yellow 10" xfId="251" xr:uid="{00000000-0005-0000-0000-0000FC000000}"/>
    <cellStyle name="yellow 9" xfId="252" xr:uid="{00000000-0005-0000-0000-0000FD000000}"/>
    <cellStyle name="yellow Ariel 10" xfId="253" xr:uid="{00000000-0005-0000-0000-0000FE000000}"/>
    <cellStyle name="Обычный 2" xfId="254" xr:uid="{00000000-0005-0000-0000-0000FF000000}"/>
    <cellStyle name="Обычный 3" xfId="255" xr:uid="{00000000-0005-0000-0000-000000010000}"/>
    <cellStyle name="Обычный 4" xfId="256" xr:uid="{00000000-0005-0000-0000-000001010000}"/>
    <cellStyle name="Обычный 5" xfId="257" xr:uid="{00000000-0005-0000-0000-000002010000}"/>
    <cellStyle name="Обычный 6" xfId="258" xr:uid="{00000000-0005-0000-0000-000003010000}"/>
    <cellStyle name="표준_H1380 mmTable Tank별" xfId="259" xr:uid="{00000000-0005-0000-0000-000004010000}"/>
  </cellStyles>
  <dxfs count="10">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s>
  <tableStyles count="0" defaultTableStyle="TableStyleMedium9" defaultPivotStyle="PivotStyleLight16"/>
  <colors>
    <mruColors>
      <color rgb="FF0C5966"/>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styles" Target="styles.xml"/><Relationship Id="rId47"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0</xdr:rowOff>
    </xdr:from>
    <xdr:to>
      <xdr:col>0</xdr:col>
      <xdr:colOff>1008920</xdr:colOff>
      <xdr:row>2</xdr:row>
      <xdr:rowOff>0</xdr:rowOff>
    </xdr:to>
    <xdr:pic>
      <xdr:nvPicPr>
        <xdr:cNvPr id="2" name="Image 1">
          <a:extLst>
            <a:ext uri="{FF2B5EF4-FFF2-40B4-BE49-F238E27FC236}">
              <a16:creationId xmlns:a16="http://schemas.microsoft.com/office/drawing/2014/main" id="{C26C7F28-0BFF-430B-A67A-CB4A7B8D2785}"/>
            </a:ext>
          </a:extLst>
        </xdr:cNvPr>
        <xdr:cNvPicPr>
          <a:picLocks noChangeAspect="1"/>
        </xdr:cNvPicPr>
      </xdr:nvPicPr>
      <xdr:blipFill>
        <a:blip xmlns:r="http://schemas.openxmlformats.org/officeDocument/2006/relationships" r:embed="rId1"/>
        <a:stretch>
          <a:fillRect/>
        </a:stretch>
      </xdr:blipFill>
      <xdr:spPr>
        <a:xfrm>
          <a:off x="57150" y="0"/>
          <a:ext cx="951770" cy="390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171451</xdr:colOff>
      <xdr:row>0</xdr:row>
      <xdr:rowOff>0</xdr:rowOff>
    </xdr:from>
    <xdr:to>
      <xdr:col>1</xdr:col>
      <xdr:colOff>621327</xdr:colOff>
      <xdr:row>2</xdr:row>
      <xdr:rowOff>139700</xdr:rowOff>
    </xdr:to>
    <xdr:pic>
      <xdr:nvPicPr>
        <xdr:cNvPr id="2" name="Image 1">
          <a:extLst>
            <a:ext uri="{FF2B5EF4-FFF2-40B4-BE49-F238E27FC236}">
              <a16:creationId xmlns:a16="http://schemas.microsoft.com/office/drawing/2014/main" id="{69AB6F50-DBE8-C870-6BFA-6A69870CAA8A}"/>
            </a:ext>
          </a:extLst>
        </xdr:cNvPr>
        <xdr:cNvPicPr>
          <a:picLocks noChangeAspect="1"/>
        </xdr:cNvPicPr>
      </xdr:nvPicPr>
      <xdr:blipFill>
        <a:blip xmlns:r="http://schemas.openxmlformats.org/officeDocument/2006/relationships" r:embed="rId1"/>
        <a:stretch>
          <a:fillRect/>
        </a:stretch>
      </xdr:blipFill>
      <xdr:spPr>
        <a:xfrm>
          <a:off x="171451" y="190500"/>
          <a:ext cx="1275376" cy="5238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123825</xdr:colOff>
      <xdr:row>0</xdr:row>
      <xdr:rowOff>0</xdr:rowOff>
    </xdr:from>
    <xdr:to>
      <xdr:col>4</xdr:col>
      <xdr:colOff>103801</xdr:colOff>
      <xdr:row>1</xdr:row>
      <xdr:rowOff>257175</xdr:rowOff>
    </xdr:to>
    <xdr:pic>
      <xdr:nvPicPr>
        <xdr:cNvPr id="2" name="Image 1">
          <a:extLst>
            <a:ext uri="{FF2B5EF4-FFF2-40B4-BE49-F238E27FC236}">
              <a16:creationId xmlns:a16="http://schemas.microsoft.com/office/drawing/2014/main" id="{D8D388A1-94B5-48D4-9E6C-571ED7F3F0A4}"/>
            </a:ext>
          </a:extLst>
        </xdr:cNvPr>
        <xdr:cNvPicPr>
          <a:picLocks noChangeAspect="1"/>
        </xdr:cNvPicPr>
      </xdr:nvPicPr>
      <xdr:blipFill>
        <a:blip xmlns:r="http://schemas.openxmlformats.org/officeDocument/2006/relationships" r:embed="rId1"/>
        <a:stretch>
          <a:fillRect/>
        </a:stretch>
      </xdr:blipFill>
      <xdr:spPr>
        <a:xfrm>
          <a:off x="123825" y="0"/>
          <a:ext cx="1275376" cy="5238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114300</xdr:colOff>
      <xdr:row>1</xdr:row>
      <xdr:rowOff>76200</xdr:rowOff>
    </xdr:from>
    <xdr:to>
      <xdr:col>5</xdr:col>
      <xdr:colOff>400050</xdr:colOff>
      <xdr:row>2</xdr:row>
      <xdr:rowOff>85725</xdr:rowOff>
    </xdr:to>
    <xdr:pic>
      <xdr:nvPicPr>
        <xdr:cNvPr id="2" name="Picture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14325" y="276225"/>
          <a:ext cx="1581150" cy="276225"/>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38100</xdr:colOff>
      <xdr:row>1</xdr:row>
      <xdr:rowOff>85725</xdr:rowOff>
    </xdr:from>
    <xdr:to>
      <xdr:col>5</xdr:col>
      <xdr:colOff>285750</xdr:colOff>
      <xdr:row>2</xdr:row>
      <xdr:rowOff>123825</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38125" y="285750"/>
          <a:ext cx="1514475" cy="3048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114300</xdr:colOff>
      <xdr:row>1</xdr:row>
      <xdr:rowOff>76200</xdr:rowOff>
    </xdr:from>
    <xdr:to>
      <xdr:col>5</xdr:col>
      <xdr:colOff>400050</xdr:colOff>
      <xdr:row>2</xdr:row>
      <xdr:rowOff>85725</xdr:rowOff>
    </xdr:to>
    <xdr:pic>
      <xdr:nvPicPr>
        <xdr:cNvPr id="2" name="Picture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14325" y="276225"/>
          <a:ext cx="1581150" cy="276225"/>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38100</xdr:colOff>
      <xdr:row>1</xdr:row>
      <xdr:rowOff>85725</xdr:rowOff>
    </xdr:from>
    <xdr:to>
      <xdr:col>5</xdr:col>
      <xdr:colOff>285750</xdr:colOff>
      <xdr:row>2</xdr:row>
      <xdr:rowOff>123825</xdr:rowOff>
    </xdr:to>
    <xdr:pic>
      <xdr:nvPicPr>
        <xdr:cNvPr id="2" name="Picture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38125" y="285750"/>
          <a:ext cx="1514475" cy="30480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152400</xdr:colOff>
      <xdr:row>0</xdr:row>
      <xdr:rowOff>0</xdr:rowOff>
    </xdr:from>
    <xdr:to>
      <xdr:col>4</xdr:col>
      <xdr:colOff>132376</xdr:colOff>
      <xdr:row>1</xdr:row>
      <xdr:rowOff>257175</xdr:rowOff>
    </xdr:to>
    <xdr:pic>
      <xdr:nvPicPr>
        <xdr:cNvPr id="2" name="Image 1">
          <a:extLst>
            <a:ext uri="{FF2B5EF4-FFF2-40B4-BE49-F238E27FC236}">
              <a16:creationId xmlns:a16="http://schemas.microsoft.com/office/drawing/2014/main" id="{8C23B4F9-EC2D-4D30-A4E7-A015A81E7A92}"/>
            </a:ext>
          </a:extLst>
        </xdr:cNvPr>
        <xdr:cNvPicPr>
          <a:picLocks noChangeAspect="1"/>
        </xdr:cNvPicPr>
      </xdr:nvPicPr>
      <xdr:blipFill>
        <a:blip xmlns:r="http://schemas.openxmlformats.org/officeDocument/2006/relationships" r:embed="rId1"/>
        <a:stretch>
          <a:fillRect/>
        </a:stretch>
      </xdr:blipFill>
      <xdr:spPr>
        <a:xfrm>
          <a:off x="152400" y="0"/>
          <a:ext cx="1275376" cy="5238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152400</xdr:colOff>
      <xdr:row>0</xdr:row>
      <xdr:rowOff>0</xdr:rowOff>
    </xdr:from>
    <xdr:to>
      <xdr:col>4</xdr:col>
      <xdr:colOff>132376</xdr:colOff>
      <xdr:row>1</xdr:row>
      <xdr:rowOff>257175</xdr:rowOff>
    </xdr:to>
    <xdr:pic>
      <xdr:nvPicPr>
        <xdr:cNvPr id="2" name="Image 1">
          <a:extLst>
            <a:ext uri="{FF2B5EF4-FFF2-40B4-BE49-F238E27FC236}">
              <a16:creationId xmlns:a16="http://schemas.microsoft.com/office/drawing/2014/main" id="{F7D36DF9-F90B-466B-A6D8-E6EBF5F60991}"/>
            </a:ext>
          </a:extLst>
        </xdr:cNvPr>
        <xdr:cNvPicPr>
          <a:picLocks noChangeAspect="1"/>
        </xdr:cNvPicPr>
      </xdr:nvPicPr>
      <xdr:blipFill>
        <a:blip xmlns:r="http://schemas.openxmlformats.org/officeDocument/2006/relationships" r:embed="rId1"/>
        <a:stretch>
          <a:fillRect/>
        </a:stretch>
      </xdr:blipFill>
      <xdr:spPr>
        <a:xfrm>
          <a:off x="152400" y="0"/>
          <a:ext cx="1275376" cy="5238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9525</xdr:colOff>
      <xdr:row>1</xdr:row>
      <xdr:rowOff>9525</xdr:rowOff>
    </xdr:from>
    <xdr:to>
      <xdr:col>3</xdr:col>
      <xdr:colOff>600075</xdr:colOff>
      <xdr:row>2</xdr:row>
      <xdr:rowOff>242555</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23825"/>
          <a:ext cx="1809750" cy="480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1</xdr:col>
      <xdr:colOff>28575</xdr:colOff>
      <xdr:row>1</xdr:row>
      <xdr:rowOff>19050</xdr:rowOff>
    </xdr:from>
    <xdr:ext cx="0" cy="400050"/>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133350"/>
          <a:ext cx="0"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85725</xdr:colOff>
      <xdr:row>1</xdr:row>
      <xdr:rowOff>19050</xdr:rowOff>
    </xdr:from>
    <xdr:ext cx="1466850" cy="409575"/>
    <xdr:pic>
      <xdr:nvPicPr>
        <xdr:cNvPr id="3" name="Picture 1">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133350"/>
          <a:ext cx="146685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2.xml><?xml version="1.0" encoding="utf-8"?>
<xdr:wsDr xmlns:xdr="http://schemas.openxmlformats.org/drawingml/2006/spreadsheetDrawing" xmlns:a="http://schemas.openxmlformats.org/drawingml/2006/main">
  <xdr:oneCellAnchor>
    <xdr:from>
      <xdr:col>1</xdr:col>
      <xdr:colOff>28575</xdr:colOff>
      <xdr:row>1</xdr:row>
      <xdr:rowOff>19050</xdr:rowOff>
    </xdr:from>
    <xdr:ext cx="0" cy="400050"/>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133350"/>
          <a:ext cx="0"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85725</xdr:colOff>
      <xdr:row>1</xdr:row>
      <xdr:rowOff>19050</xdr:rowOff>
    </xdr:from>
    <xdr:ext cx="1466850" cy="409575"/>
    <xdr:pic>
      <xdr:nvPicPr>
        <xdr:cNvPr id="3" name="Picture 1">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133350"/>
          <a:ext cx="146685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3.xml><?xml version="1.0" encoding="utf-8"?>
<xdr:wsDr xmlns:xdr="http://schemas.openxmlformats.org/drawingml/2006/spreadsheetDrawing" xmlns:a="http://schemas.openxmlformats.org/drawingml/2006/main">
  <xdr:oneCellAnchor>
    <xdr:from>
      <xdr:col>1</xdr:col>
      <xdr:colOff>28575</xdr:colOff>
      <xdr:row>1</xdr:row>
      <xdr:rowOff>19050</xdr:rowOff>
    </xdr:from>
    <xdr:ext cx="0" cy="400050"/>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133350"/>
          <a:ext cx="0"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85725</xdr:colOff>
      <xdr:row>1</xdr:row>
      <xdr:rowOff>19050</xdr:rowOff>
    </xdr:from>
    <xdr:ext cx="1466850" cy="409575"/>
    <xdr:pic>
      <xdr:nvPicPr>
        <xdr:cNvPr id="3" name="Picture 1">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133350"/>
          <a:ext cx="146685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xdr:col>
      <xdr:colOff>142875</xdr:colOff>
      <xdr:row>1</xdr:row>
      <xdr:rowOff>38100</xdr:rowOff>
    </xdr:from>
    <xdr:to>
      <xdr:col>3</xdr:col>
      <xdr:colOff>152400</xdr:colOff>
      <xdr:row>2</xdr:row>
      <xdr:rowOff>190500</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152400"/>
          <a:ext cx="1228725"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142875</xdr:colOff>
      <xdr:row>1</xdr:row>
      <xdr:rowOff>38100</xdr:rowOff>
    </xdr:from>
    <xdr:to>
      <xdr:col>3</xdr:col>
      <xdr:colOff>152400</xdr:colOff>
      <xdr:row>2</xdr:row>
      <xdr:rowOff>190500</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152400"/>
          <a:ext cx="1228725"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28575</xdr:colOff>
      <xdr:row>0</xdr:row>
      <xdr:rowOff>0</xdr:rowOff>
    </xdr:from>
    <xdr:to>
      <xdr:col>3</xdr:col>
      <xdr:colOff>189526</xdr:colOff>
      <xdr:row>2</xdr:row>
      <xdr:rowOff>19050</xdr:rowOff>
    </xdr:to>
    <xdr:pic>
      <xdr:nvPicPr>
        <xdr:cNvPr id="2" name="Image 1">
          <a:extLst>
            <a:ext uri="{FF2B5EF4-FFF2-40B4-BE49-F238E27FC236}">
              <a16:creationId xmlns:a16="http://schemas.microsoft.com/office/drawing/2014/main" id="{A062C164-B3A6-44E1-A1EB-61A770DBACE1}"/>
            </a:ext>
          </a:extLst>
        </xdr:cNvPr>
        <xdr:cNvPicPr>
          <a:picLocks noChangeAspect="1"/>
        </xdr:cNvPicPr>
      </xdr:nvPicPr>
      <xdr:blipFill>
        <a:blip xmlns:r="http://schemas.openxmlformats.org/officeDocument/2006/relationships" r:embed="rId1"/>
        <a:stretch>
          <a:fillRect/>
        </a:stretch>
      </xdr:blipFill>
      <xdr:spPr>
        <a:xfrm>
          <a:off x="276225" y="0"/>
          <a:ext cx="1275376" cy="5238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152400</xdr:colOff>
      <xdr:row>0</xdr:row>
      <xdr:rowOff>0</xdr:rowOff>
    </xdr:from>
    <xdr:to>
      <xdr:col>4</xdr:col>
      <xdr:colOff>132376</xdr:colOff>
      <xdr:row>1</xdr:row>
      <xdr:rowOff>257175</xdr:rowOff>
    </xdr:to>
    <xdr:pic>
      <xdr:nvPicPr>
        <xdr:cNvPr id="2" name="Image 1">
          <a:extLst>
            <a:ext uri="{FF2B5EF4-FFF2-40B4-BE49-F238E27FC236}">
              <a16:creationId xmlns:a16="http://schemas.microsoft.com/office/drawing/2014/main" id="{56A480FA-880C-4EA2-B719-C4ED7B23B954}"/>
            </a:ext>
          </a:extLst>
        </xdr:cNvPr>
        <xdr:cNvPicPr>
          <a:picLocks noChangeAspect="1"/>
        </xdr:cNvPicPr>
      </xdr:nvPicPr>
      <xdr:blipFill>
        <a:blip xmlns:r="http://schemas.openxmlformats.org/officeDocument/2006/relationships" r:embed="rId1"/>
        <a:stretch>
          <a:fillRect/>
        </a:stretch>
      </xdr:blipFill>
      <xdr:spPr>
        <a:xfrm>
          <a:off x="152400" y="0"/>
          <a:ext cx="1275376" cy="523875"/>
        </a:xfrm>
        <a:prstGeom prst="rect">
          <a:avLst/>
        </a:prstGeom>
      </xdr:spPr>
    </xdr:pic>
    <xdr:clientData/>
  </xdr:twoCellAnchor>
  <xdr:twoCellAnchor editAs="oneCell">
    <xdr:from>
      <xdr:col>0</xdr:col>
      <xdr:colOff>0</xdr:colOff>
      <xdr:row>16</xdr:row>
      <xdr:rowOff>133350</xdr:rowOff>
    </xdr:from>
    <xdr:to>
      <xdr:col>9</xdr:col>
      <xdr:colOff>144921</xdr:colOff>
      <xdr:row>35</xdr:row>
      <xdr:rowOff>11985</xdr:rowOff>
    </xdr:to>
    <xdr:pic>
      <xdr:nvPicPr>
        <xdr:cNvPr id="4" name="Image 3">
          <a:extLst>
            <a:ext uri="{FF2B5EF4-FFF2-40B4-BE49-F238E27FC236}">
              <a16:creationId xmlns:a16="http://schemas.microsoft.com/office/drawing/2014/main" id="{8C69D814-909C-4047-9FF1-5FD5358A90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3467100"/>
          <a:ext cx="3059571" cy="3679110"/>
        </a:xfrm>
        <a:prstGeom prst="rect">
          <a:avLst/>
        </a:prstGeom>
      </xdr:spPr>
    </xdr:pic>
    <xdr:clientData/>
  </xdr:twoCellAnchor>
  <xdr:twoCellAnchor editAs="oneCell">
    <xdr:from>
      <xdr:col>24</xdr:col>
      <xdr:colOff>76200</xdr:colOff>
      <xdr:row>11</xdr:row>
      <xdr:rowOff>133350</xdr:rowOff>
    </xdr:from>
    <xdr:to>
      <xdr:col>32</xdr:col>
      <xdr:colOff>229565</xdr:colOff>
      <xdr:row>34</xdr:row>
      <xdr:rowOff>162571</xdr:rowOff>
    </xdr:to>
    <xdr:pic>
      <xdr:nvPicPr>
        <xdr:cNvPr id="7" name="Image 6">
          <a:extLst>
            <a:ext uri="{FF2B5EF4-FFF2-40B4-BE49-F238E27FC236}">
              <a16:creationId xmlns:a16="http://schemas.microsoft.com/office/drawing/2014/main" id="{97B851D4-23B8-4091-901B-CE9C68CD00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72400" y="2466975"/>
          <a:ext cx="6916115" cy="462979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123825</xdr:colOff>
      <xdr:row>0</xdr:row>
      <xdr:rowOff>0</xdr:rowOff>
    </xdr:from>
    <xdr:to>
      <xdr:col>4</xdr:col>
      <xdr:colOff>103801</xdr:colOff>
      <xdr:row>1</xdr:row>
      <xdr:rowOff>257175</xdr:rowOff>
    </xdr:to>
    <xdr:pic>
      <xdr:nvPicPr>
        <xdr:cNvPr id="2" name="Image 1">
          <a:extLst>
            <a:ext uri="{FF2B5EF4-FFF2-40B4-BE49-F238E27FC236}">
              <a16:creationId xmlns:a16="http://schemas.microsoft.com/office/drawing/2014/main" id="{2B929EE7-2A25-429C-872D-DAEBB7C3113E}"/>
            </a:ext>
          </a:extLst>
        </xdr:cNvPr>
        <xdr:cNvPicPr>
          <a:picLocks noChangeAspect="1"/>
        </xdr:cNvPicPr>
      </xdr:nvPicPr>
      <xdr:blipFill>
        <a:blip xmlns:r="http://schemas.openxmlformats.org/officeDocument/2006/relationships" r:embed="rId1"/>
        <a:stretch>
          <a:fillRect/>
        </a:stretch>
      </xdr:blipFill>
      <xdr:spPr>
        <a:xfrm>
          <a:off x="123825" y="0"/>
          <a:ext cx="1275376" cy="5238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123825</xdr:colOff>
      <xdr:row>0</xdr:row>
      <xdr:rowOff>0</xdr:rowOff>
    </xdr:from>
    <xdr:to>
      <xdr:col>4</xdr:col>
      <xdr:colOff>103801</xdr:colOff>
      <xdr:row>1</xdr:row>
      <xdr:rowOff>257175</xdr:rowOff>
    </xdr:to>
    <xdr:pic>
      <xdr:nvPicPr>
        <xdr:cNvPr id="2" name="Image 1">
          <a:extLst>
            <a:ext uri="{FF2B5EF4-FFF2-40B4-BE49-F238E27FC236}">
              <a16:creationId xmlns:a16="http://schemas.microsoft.com/office/drawing/2014/main" id="{0B9A1B93-FF04-42BA-9FC7-4FB37D84E7CE}"/>
            </a:ext>
          </a:extLst>
        </xdr:cNvPr>
        <xdr:cNvPicPr>
          <a:picLocks noChangeAspect="1"/>
        </xdr:cNvPicPr>
      </xdr:nvPicPr>
      <xdr:blipFill>
        <a:blip xmlns:r="http://schemas.openxmlformats.org/officeDocument/2006/relationships" r:embed="rId1"/>
        <a:stretch>
          <a:fillRect/>
        </a:stretch>
      </xdr:blipFill>
      <xdr:spPr>
        <a:xfrm>
          <a:off x="123825" y="0"/>
          <a:ext cx="1275376" cy="5238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123825</xdr:colOff>
      <xdr:row>0</xdr:row>
      <xdr:rowOff>0</xdr:rowOff>
    </xdr:from>
    <xdr:to>
      <xdr:col>4</xdr:col>
      <xdr:colOff>103801</xdr:colOff>
      <xdr:row>1</xdr:row>
      <xdr:rowOff>257175</xdr:rowOff>
    </xdr:to>
    <xdr:pic>
      <xdr:nvPicPr>
        <xdr:cNvPr id="2" name="Image 1">
          <a:extLst>
            <a:ext uri="{FF2B5EF4-FFF2-40B4-BE49-F238E27FC236}">
              <a16:creationId xmlns:a16="http://schemas.microsoft.com/office/drawing/2014/main" id="{A724DBD7-8488-4F62-9923-E9E4BD7F34E1}"/>
            </a:ext>
          </a:extLst>
        </xdr:cNvPr>
        <xdr:cNvPicPr>
          <a:picLocks noChangeAspect="1"/>
        </xdr:cNvPicPr>
      </xdr:nvPicPr>
      <xdr:blipFill>
        <a:blip xmlns:r="http://schemas.openxmlformats.org/officeDocument/2006/relationships" r:embed="rId1"/>
        <a:stretch>
          <a:fillRect/>
        </a:stretch>
      </xdr:blipFill>
      <xdr:spPr>
        <a:xfrm>
          <a:off x="123825" y="0"/>
          <a:ext cx="1275376" cy="5238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oneCellAnchor>
    <xdr:from>
      <xdr:col>1</xdr:col>
      <xdr:colOff>161925</xdr:colOff>
      <xdr:row>1</xdr:row>
      <xdr:rowOff>19050</xdr:rowOff>
    </xdr:from>
    <xdr:ext cx="1228725" cy="400050"/>
    <xdr:pic>
      <xdr:nvPicPr>
        <xdr:cNvPr id="2" name="Picture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190500"/>
          <a:ext cx="1228725"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2.xml><?xml version="1.0" encoding="utf-8"?>
<xdr:wsDr xmlns:xdr="http://schemas.openxmlformats.org/drawingml/2006/spreadsheetDrawing" xmlns:a="http://schemas.openxmlformats.org/drawingml/2006/main">
  <xdr:oneCellAnchor>
    <xdr:from>
      <xdr:col>1</xdr:col>
      <xdr:colOff>161925</xdr:colOff>
      <xdr:row>1</xdr:row>
      <xdr:rowOff>19050</xdr:rowOff>
    </xdr:from>
    <xdr:ext cx="1228725" cy="400050"/>
    <xdr:pic>
      <xdr:nvPicPr>
        <xdr:cNvPr id="2" name="Picture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190500"/>
          <a:ext cx="1228725"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3.xml><?xml version="1.0" encoding="utf-8"?>
<xdr:wsDr xmlns:xdr="http://schemas.openxmlformats.org/drawingml/2006/spreadsheetDrawing" xmlns:a="http://schemas.openxmlformats.org/drawingml/2006/main">
  <xdr:oneCellAnchor>
    <xdr:from>
      <xdr:col>1</xdr:col>
      <xdr:colOff>161925</xdr:colOff>
      <xdr:row>1</xdr:row>
      <xdr:rowOff>19050</xdr:rowOff>
    </xdr:from>
    <xdr:ext cx="1228725" cy="400050"/>
    <xdr:pic>
      <xdr:nvPicPr>
        <xdr:cNvPr id="2" name="Picture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190500"/>
          <a:ext cx="1228725"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4.xml><?xml version="1.0" encoding="utf-8"?>
<xdr:wsDr xmlns:xdr="http://schemas.openxmlformats.org/drawingml/2006/spreadsheetDrawing" xmlns:a="http://schemas.openxmlformats.org/drawingml/2006/main">
  <xdr:oneCellAnchor>
    <xdr:from>
      <xdr:col>1</xdr:col>
      <xdr:colOff>161925</xdr:colOff>
      <xdr:row>1</xdr:row>
      <xdr:rowOff>19050</xdr:rowOff>
    </xdr:from>
    <xdr:ext cx="1228725" cy="400050"/>
    <xdr:pic>
      <xdr:nvPicPr>
        <xdr:cNvPr id="2" name="Picture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 y="190500"/>
          <a:ext cx="1228725"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5.xml><?xml version="1.0" encoding="utf-8"?>
<xdr:wsDr xmlns:xdr="http://schemas.openxmlformats.org/drawingml/2006/spreadsheetDrawing" xmlns:a="http://schemas.openxmlformats.org/drawingml/2006/main">
  <xdr:oneCellAnchor>
    <xdr:from>
      <xdr:col>1</xdr:col>
      <xdr:colOff>161925</xdr:colOff>
      <xdr:row>1</xdr:row>
      <xdr:rowOff>19050</xdr:rowOff>
    </xdr:from>
    <xdr:ext cx="1228725" cy="400050"/>
    <xdr:pic>
      <xdr:nvPicPr>
        <xdr:cNvPr id="2" name="Picture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 y="190500"/>
          <a:ext cx="1228725"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6.xml><?xml version="1.0" encoding="utf-8"?>
<xdr:wsDr xmlns:xdr="http://schemas.openxmlformats.org/drawingml/2006/spreadsheetDrawing" xmlns:a="http://schemas.openxmlformats.org/drawingml/2006/main">
  <xdr:twoCellAnchor editAs="oneCell">
    <xdr:from>
      <xdr:col>0</xdr:col>
      <xdr:colOff>123825</xdr:colOff>
      <xdr:row>0</xdr:row>
      <xdr:rowOff>0</xdr:rowOff>
    </xdr:from>
    <xdr:to>
      <xdr:col>4</xdr:col>
      <xdr:colOff>103801</xdr:colOff>
      <xdr:row>1</xdr:row>
      <xdr:rowOff>257175</xdr:rowOff>
    </xdr:to>
    <xdr:pic>
      <xdr:nvPicPr>
        <xdr:cNvPr id="2" name="Image 1">
          <a:extLst>
            <a:ext uri="{FF2B5EF4-FFF2-40B4-BE49-F238E27FC236}">
              <a16:creationId xmlns:a16="http://schemas.microsoft.com/office/drawing/2014/main" id="{443B2D79-FF1A-4F61-83B8-7AF4814E259C}"/>
            </a:ext>
          </a:extLst>
        </xdr:cNvPr>
        <xdr:cNvPicPr>
          <a:picLocks noChangeAspect="1"/>
        </xdr:cNvPicPr>
      </xdr:nvPicPr>
      <xdr:blipFill>
        <a:blip xmlns:r="http://schemas.openxmlformats.org/officeDocument/2006/relationships" r:embed="rId1"/>
        <a:stretch>
          <a:fillRect/>
        </a:stretch>
      </xdr:blipFill>
      <xdr:spPr>
        <a:xfrm>
          <a:off x="123825" y="0"/>
          <a:ext cx="1275376" cy="5238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123825</xdr:colOff>
      <xdr:row>0</xdr:row>
      <xdr:rowOff>0</xdr:rowOff>
    </xdr:from>
    <xdr:to>
      <xdr:col>4</xdr:col>
      <xdr:colOff>103801</xdr:colOff>
      <xdr:row>1</xdr:row>
      <xdr:rowOff>257175</xdr:rowOff>
    </xdr:to>
    <xdr:pic>
      <xdr:nvPicPr>
        <xdr:cNvPr id="2" name="Image 1">
          <a:extLst>
            <a:ext uri="{FF2B5EF4-FFF2-40B4-BE49-F238E27FC236}">
              <a16:creationId xmlns:a16="http://schemas.microsoft.com/office/drawing/2014/main" id="{F6B3D80E-7C0C-4EE0-9F68-37CF1A64B025}"/>
            </a:ext>
          </a:extLst>
        </xdr:cNvPr>
        <xdr:cNvPicPr>
          <a:picLocks noChangeAspect="1"/>
        </xdr:cNvPicPr>
      </xdr:nvPicPr>
      <xdr:blipFill>
        <a:blip xmlns:r="http://schemas.openxmlformats.org/officeDocument/2006/relationships" r:embed="rId1"/>
        <a:stretch>
          <a:fillRect/>
        </a:stretch>
      </xdr:blipFill>
      <xdr:spPr>
        <a:xfrm>
          <a:off x="123825" y="0"/>
          <a:ext cx="1275376" cy="5238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123825</xdr:colOff>
      <xdr:row>0</xdr:row>
      <xdr:rowOff>0</xdr:rowOff>
    </xdr:from>
    <xdr:to>
      <xdr:col>4</xdr:col>
      <xdr:colOff>103801</xdr:colOff>
      <xdr:row>1</xdr:row>
      <xdr:rowOff>257175</xdr:rowOff>
    </xdr:to>
    <xdr:pic>
      <xdr:nvPicPr>
        <xdr:cNvPr id="2" name="Image 1">
          <a:extLst>
            <a:ext uri="{FF2B5EF4-FFF2-40B4-BE49-F238E27FC236}">
              <a16:creationId xmlns:a16="http://schemas.microsoft.com/office/drawing/2014/main" id="{B1AC9810-351B-4EDC-9CA0-1D8CC32D5753}"/>
            </a:ext>
          </a:extLst>
        </xdr:cNvPr>
        <xdr:cNvPicPr>
          <a:picLocks noChangeAspect="1"/>
        </xdr:cNvPicPr>
      </xdr:nvPicPr>
      <xdr:blipFill>
        <a:blip xmlns:r="http://schemas.openxmlformats.org/officeDocument/2006/relationships" r:embed="rId1"/>
        <a:stretch>
          <a:fillRect/>
        </a:stretch>
      </xdr:blipFill>
      <xdr:spPr>
        <a:xfrm>
          <a:off x="123825" y="0"/>
          <a:ext cx="1275376" cy="5238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oneCellAnchor>
    <xdr:from>
      <xdr:col>1</xdr:col>
      <xdr:colOff>28575</xdr:colOff>
      <xdr:row>1</xdr:row>
      <xdr:rowOff>19050</xdr:rowOff>
    </xdr:from>
    <xdr:ext cx="0" cy="400050"/>
    <xdr:pic>
      <xdr:nvPicPr>
        <xdr:cNvPr id="2" name="Picture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133350"/>
          <a:ext cx="0"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85725</xdr:colOff>
      <xdr:row>1</xdr:row>
      <xdr:rowOff>19050</xdr:rowOff>
    </xdr:from>
    <xdr:ext cx="1466850" cy="409575"/>
    <xdr:pic>
      <xdr:nvPicPr>
        <xdr:cNvPr id="3" name="Picture 1">
          <a:extLst>
            <a:ext uri="{FF2B5EF4-FFF2-40B4-BE49-F238E27FC236}">
              <a16:creationId xmlns:a16="http://schemas.microsoft.com/office/drawing/2014/main" id="{00000000-0008-0000-1E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133350"/>
          <a:ext cx="146685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0.xml><?xml version="1.0" encoding="utf-8"?>
<xdr:wsDr xmlns:xdr="http://schemas.openxmlformats.org/drawingml/2006/spreadsheetDrawing" xmlns:a="http://schemas.openxmlformats.org/drawingml/2006/main">
  <xdr:twoCellAnchor editAs="oneCell">
    <xdr:from>
      <xdr:col>1</xdr:col>
      <xdr:colOff>142875</xdr:colOff>
      <xdr:row>1</xdr:row>
      <xdr:rowOff>38100</xdr:rowOff>
    </xdr:from>
    <xdr:to>
      <xdr:col>3</xdr:col>
      <xdr:colOff>152400</xdr:colOff>
      <xdr:row>2</xdr:row>
      <xdr:rowOff>190500</xdr:rowOff>
    </xdr:to>
    <xdr:pic>
      <xdr:nvPicPr>
        <xdr:cNvPr id="2" name="Picture 1">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152400"/>
          <a:ext cx="1228725"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n-main-nas\common\11%20-%20Deck%20Department\08%20-%20Cadet\002%20-%20Ullage%20Report%20Before%20Loading.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11%20-%20Deck%20Department\08%20-%20Cadet\002%20-%20Ullage%20Report%20Before%20Loading.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01%20-%20MFS%20-%20Master\MFS29%20-%20Charterer%20Instructions\05%20-%20SCORPIO\Adara%20-%20Welcome%20to%20SHTP%20Pool%20_%20Forms\SeaForms%20%20-%20New\SeaForms\Template\Por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n-main-nas\common\Mumbai\dparikh\Desktop\Scorpio%20Forms%20v2.0\Por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erver\profils$\CargoRoom2\Desktop\Appendix%203a%20-%20Port%20Performance%20Report%20Load%20(Form%2019Xl)%20Rev%20June%20201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r-main-nas\common\Users\leh-mel\Desktop\DKK.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r-main-nas\common\Users\leh-mel\Desktop\MONTOIR-NANTES.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Z:\_REGIONAL%20OPERATIONS%20MGR\____%20FRANCE%20____\PORT%20DUES%20-%20LAMANAGE%20-%20PILOTAGE%20-%20REMORQUAGE%20-%20ALL%20PORTS\MSC%20FRANCE%20-%20%202018%20PILOTAGE%20-%20MOORING%20-%20PORT%20DUES%20-%20TUG%20-%20avec%20Fleet%2004%202019%20-%20.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n-main-nas\common\New%20Scorpio%20Templates\Scorpio\01%20Port%20Sea%20report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New%20Scorpio%20Templates\Scorpio\01%20Port%20Sea%20report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llage report TAMARIN"/>
      <sheetName val="Stowage plan"/>
      <sheetName val="Graph stowage plan"/>
      <sheetName val="Calcul table 54B"/>
      <sheetName val="calcul V"/>
      <sheetName val="Ullage table"/>
      <sheetName val="Tank Table bis"/>
      <sheetName val="T54B"/>
      <sheetName val="Table 52"/>
      <sheetName val="Table 56"/>
      <sheetName val="Trim calcul"/>
      <sheetName val="Trim table"/>
      <sheetName val="Calcul T54B"/>
    </sheetNames>
    <sheetDataSet>
      <sheetData sheetId="0"/>
      <sheetData sheetId="1"/>
      <sheetData sheetId="2"/>
      <sheetData sheetId="3">
        <row r="20">
          <cell r="A20">
            <v>51.5</v>
          </cell>
          <cell r="B20">
            <v>0.91410000000000002</v>
          </cell>
        </row>
      </sheetData>
      <sheetData sheetId="4"/>
      <sheetData sheetId="5"/>
      <sheetData sheetId="6"/>
      <sheetData sheetId="7"/>
      <sheetData sheetId="8">
        <row r="5">
          <cell r="E5">
            <v>0.15891</v>
          </cell>
          <cell r="F5">
            <v>0.15887999999999999</v>
          </cell>
          <cell r="G5">
            <v>0.15891</v>
          </cell>
          <cell r="H5">
            <v>0.15892999999999999</v>
          </cell>
          <cell r="I5">
            <v>0.15892999999999999</v>
          </cell>
          <cell r="J5">
            <v>0.15892999999999999</v>
          </cell>
          <cell r="K5">
            <v>0.15892999999999999</v>
          </cell>
          <cell r="L5">
            <v>0.15892999999999999</v>
          </cell>
        </row>
      </sheetData>
      <sheetData sheetId="9">
        <row r="5">
          <cell r="E5">
            <v>1.00135</v>
          </cell>
          <cell r="F5">
            <v>1.0015499999999999</v>
          </cell>
          <cell r="G5">
            <v>1.00135</v>
          </cell>
          <cell r="H5">
            <v>1.00105</v>
          </cell>
          <cell r="I5">
            <v>1.00105</v>
          </cell>
          <cell r="J5">
            <v>1.00105</v>
          </cell>
          <cell r="K5">
            <v>1.00105</v>
          </cell>
          <cell r="L5">
            <v>1.00105</v>
          </cell>
        </row>
      </sheetData>
      <sheetData sheetId="10">
        <row r="2">
          <cell r="F2">
            <v>0</v>
          </cell>
          <cell r="G2">
            <v>6</v>
          </cell>
        </row>
        <row r="3">
          <cell r="F3">
            <v>0</v>
          </cell>
          <cell r="G3">
            <v>6</v>
          </cell>
        </row>
      </sheetData>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llage report TAMARIN"/>
      <sheetName val="Stowage plan"/>
      <sheetName val="Graph stowage plan"/>
      <sheetName val="Calcul table 54B"/>
      <sheetName val="calcul V"/>
      <sheetName val="Ullage table"/>
      <sheetName val="Tank Table bis"/>
      <sheetName val="T54B"/>
      <sheetName val="Table 52"/>
      <sheetName val="Table 56"/>
      <sheetName val="Trim calcul"/>
      <sheetName val="Trim table"/>
      <sheetName val="Calcul T54B"/>
    </sheetNames>
    <sheetDataSet>
      <sheetData sheetId="0"/>
      <sheetData sheetId="1"/>
      <sheetData sheetId="2"/>
      <sheetData sheetId="3">
        <row r="20">
          <cell r="A20">
            <v>51.5</v>
          </cell>
          <cell r="B20">
            <v>0.91410000000000002</v>
          </cell>
        </row>
      </sheetData>
      <sheetData sheetId="4"/>
      <sheetData sheetId="5"/>
      <sheetData sheetId="6"/>
      <sheetData sheetId="7"/>
      <sheetData sheetId="8">
        <row r="5">
          <cell r="E5">
            <v>0.15891</v>
          </cell>
          <cell r="F5">
            <v>0.15887999999999999</v>
          </cell>
          <cell r="G5">
            <v>0.15891</v>
          </cell>
          <cell r="H5">
            <v>0.15892999999999999</v>
          </cell>
          <cell r="I5">
            <v>0.15892999999999999</v>
          </cell>
          <cell r="J5">
            <v>0.15892999999999999</v>
          </cell>
          <cell r="K5">
            <v>0.15892999999999999</v>
          </cell>
          <cell r="L5">
            <v>0.15892999999999999</v>
          </cell>
        </row>
      </sheetData>
      <sheetData sheetId="9">
        <row r="5">
          <cell r="E5">
            <v>1.00135</v>
          </cell>
          <cell r="F5">
            <v>1.0015499999999999</v>
          </cell>
          <cell r="G5">
            <v>1.00135</v>
          </cell>
          <cell r="H5">
            <v>1.00105</v>
          </cell>
          <cell r="I5">
            <v>1.00105</v>
          </cell>
          <cell r="J5">
            <v>1.00105</v>
          </cell>
          <cell r="K5">
            <v>1.00105</v>
          </cell>
          <cell r="L5">
            <v>1.00105</v>
          </cell>
        </row>
      </sheetData>
      <sheetData sheetId="10">
        <row r="2">
          <cell r="F2">
            <v>0</v>
          </cell>
          <cell r="G2">
            <v>6</v>
          </cell>
        </row>
        <row r="3">
          <cell r="F3">
            <v>0</v>
          </cell>
          <cell r="G3">
            <v>6</v>
          </cell>
        </row>
      </sheetData>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PRT001"/>
      <sheetName val="PRT002"/>
      <sheetName val="PRT003"/>
      <sheetName val="PRT004"/>
      <sheetName val="PRT005"/>
      <sheetName val="PRT006"/>
      <sheetName val="PRT007"/>
      <sheetName val="PRT008"/>
      <sheetName val="PRT009"/>
      <sheetName val="PRT010"/>
      <sheetName val="PRT011"/>
      <sheetName val="PRT012"/>
      <sheetName val="PRT013"/>
      <sheetName val="PRT014"/>
      <sheetName val="PRT015"/>
      <sheetName val="PRT016"/>
    </sheetNames>
    <sheetDataSet>
      <sheetData sheetId="0">
        <row r="6">
          <cell r="G6" t="str">
            <v/>
          </cell>
        </row>
        <row r="11">
          <cell r="C11" t="e">
            <v>#VALUE!</v>
          </cell>
        </row>
        <row r="12">
          <cell r="C12" t="e">
            <v>#VALUE!</v>
          </cell>
        </row>
        <row r="13">
          <cell r="C13" t="e">
            <v>#VALUE!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PRT001"/>
      <sheetName val="PRT002"/>
      <sheetName val="PRT003"/>
      <sheetName val="PRT004"/>
      <sheetName val="PRT005"/>
      <sheetName val="PRT006"/>
      <sheetName val="PRT007"/>
      <sheetName val="PRT008"/>
      <sheetName val="PRT009"/>
      <sheetName val="PRT010"/>
      <sheetName val="PRT011"/>
      <sheetName val="SOF"/>
      <sheetName val="PRT013"/>
      <sheetName val="PRT014"/>
      <sheetName val="PRT015"/>
      <sheetName val="PRT016"/>
    </sheetNames>
    <sheetDataSet>
      <sheetData sheetId="0" refreshError="1">
        <row r="6">
          <cell r="G6" t="str">
            <v/>
          </cell>
        </row>
        <row r="11">
          <cell r="C11" t="e">
            <v>#VALUE!</v>
          </cell>
        </row>
        <row r="12">
          <cell r="C12" t="e">
            <v>#VALUE!</v>
          </cell>
        </row>
        <row r="13">
          <cell r="C13" t="e">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3">
          <cell r="C3" t="str">
            <v>STATEMENT OF FACTS</v>
          </cell>
          <cell r="J3" t="str">
            <v>PRT 012</v>
          </cell>
          <cell r="K3" t="str">
            <v>Page 1 of 1</v>
          </cell>
        </row>
        <row r="4">
          <cell r="J4" t="str">
            <v>Rev : 01</v>
          </cell>
          <cell r="K4">
            <v>41791</v>
          </cell>
        </row>
        <row r="6">
          <cell r="B6" t="str">
            <v>Vessel:</v>
          </cell>
          <cell r="C6" t="e">
            <v>#VALUE!</v>
          </cell>
          <cell r="D6" t="str">
            <v>Voyage no:</v>
          </cell>
          <cell r="E6" t="e">
            <v>#VALUE!</v>
          </cell>
          <cell r="F6" t="str">
            <v>Port :</v>
          </cell>
          <cell r="G6" t="e">
            <v>#VALUE!</v>
          </cell>
        </row>
        <row r="7">
          <cell r="H7" t="str">
            <v>Date</v>
          </cell>
          <cell r="I7" t="str">
            <v>Time (LT)</v>
          </cell>
          <cell r="J7" t="str">
            <v>R.O.B.</v>
          </cell>
        </row>
        <row r="8">
          <cell r="J8" t="str">
            <v>HFO</v>
          </cell>
          <cell r="K8" t="str">
            <v>MGO</v>
          </cell>
        </row>
        <row r="9">
          <cell r="B9" t="str">
            <v>EOSP</v>
          </cell>
          <cell r="H9">
            <v>0</v>
          </cell>
          <cell r="I9">
            <v>0</v>
          </cell>
        </row>
        <row r="10">
          <cell r="B10" t="str">
            <v>ANCHORED</v>
          </cell>
        </row>
        <row r="11">
          <cell r="B11" t="str">
            <v xml:space="preserve">N.O R. TENDERED </v>
          </cell>
          <cell r="H11">
            <v>0</v>
          </cell>
          <cell r="I11">
            <v>0</v>
          </cell>
        </row>
        <row r="12">
          <cell r="B12" t="str">
            <v>LEFT ANCHORAGE</v>
          </cell>
        </row>
        <row r="13">
          <cell r="B13" t="str">
            <v>PILOT ON BOARD</v>
          </cell>
        </row>
        <row r="14">
          <cell r="B14" t="str">
            <v>TUGS ALONGSIDE</v>
          </cell>
          <cell r="F14" t="str">
            <v>Number of Tugs</v>
          </cell>
        </row>
        <row r="15">
          <cell r="B15" t="str">
            <v xml:space="preserve">FIRST LINE ASHORE </v>
          </cell>
        </row>
        <row r="16">
          <cell r="B16" t="str">
            <v xml:space="preserve">ALL FAST </v>
          </cell>
        </row>
        <row r="17">
          <cell r="B17" t="str">
            <v>TUGS AWAY</v>
          </cell>
        </row>
        <row r="18">
          <cell r="B18" t="str">
            <v>NOR ACCEPTED / RECEIVED</v>
          </cell>
        </row>
        <row r="19">
          <cell r="B19" t="str">
            <v xml:space="preserve">COMPLETED CARGO TANKS INSPECTION </v>
          </cell>
        </row>
        <row r="20">
          <cell r="B20" t="str">
            <v>HOSES/ARMS CONNECTED</v>
          </cell>
          <cell r="F20" t="str">
            <v>No. and Size Of Connection</v>
          </cell>
        </row>
        <row r="21">
          <cell r="B21" t="str">
            <v>COMPLETED CALCULATIONS</v>
          </cell>
        </row>
        <row r="22">
          <cell r="B22" t="str">
            <v>COMMENCED CARGO</v>
          </cell>
        </row>
        <row r="23">
          <cell r="B23" t="str">
            <v>COMPLETED CARGO</v>
          </cell>
          <cell r="F23" t="str">
            <v>Stoppage by</v>
          </cell>
        </row>
        <row r="24">
          <cell r="B24" t="str">
            <v>COMPLETED CARGO TANK INSPECTION</v>
          </cell>
        </row>
        <row r="25">
          <cell r="B25" t="str">
            <v>COMPLETED CALCULATIONS</v>
          </cell>
        </row>
        <row r="26">
          <cell r="B26" t="str">
            <v>HOSES/ARMS, DISCONNECTED</v>
          </cell>
        </row>
        <row r="27">
          <cell r="B27" t="str">
            <v>CARGO DOCUMENTS ON BOARD</v>
          </cell>
        </row>
        <row r="28">
          <cell r="B28" t="str">
            <v>PILOT ON BOARD</v>
          </cell>
        </row>
        <row r="29">
          <cell r="B29" t="str">
            <v>TUGS ALONGSIDE</v>
          </cell>
          <cell r="F29" t="str">
            <v>Number of Tugs</v>
          </cell>
        </row>
        <row r="30">
          <cell r="B30" t="str">
            <v>LAST LINE</v>
          </cell>
        </row>
        <row r="31">
          <cell r="B31" t="str">
            <v>TUGS AWAY</v>
          </cell>
        </row>
        <row r="32">
          <cell r="B32" t="str">
            <v>SBE FOR DEPARTURE FROM BERTH</v>
          </cell>
        </row>
        <row r="33">
          <cell r="B33" t="str">
            <v>COSP</v>
          </cell>
        </row>
        <row r="34">
          <cell r="B34" t="str">
            <v>SAILED FOR</v>
          </cell>
        </row>
        <row r="35">
          <cell r="B35" t="str">
            <v>DRAFT ON ARRIVAL: SW-FW-BW FOR'D / AFT / MEAN</v>
          </cell>
        </row>
        <row r="36">
          <cell r="B36" t="str">
            <v xml:space="preserve">DRAFT ON SAILING: SW-FW-BW FOR'D / AFT / MEAN </v>
          </cell>
        </row>
        <row r="37">
          <cell r="B37" t="str">
            <v>LETTERS OF PROTEST</v>
          </cell>
        </row>
        <row r="38">
          <cell r="B38" t="str">
            <v>Issued</v>
          </cell>
        </row>
        <row r="39">
          <cell r="B39" t="str">
            <v>Received</v>
          </cell>
        </row>
        <row r="42">
          <cell r="B42" t="str">
            <v>Remarks:</v>
          </cell>
        </row>
        <row r="45">
          <cell r="B45" t="str">
            <v>Cargo Quantity (MT)</v>
          </cell>
        </row>
        <row r="46">
          <cell r="B46" t="str">
            <v>Operation</v>
          </cell>
          <cell r="C46" t="str">
            <v>Grade</v>
          </cell>
          <cell r="D46" t="str">
            <v>Quantity</v>
          </cell>
        </row>
        <row r="47">
          <cell r="B47" t="e">
            <v>#VALUE!</v>
          </cell>
          <cell r="C47">
            <v>0</v>
          </cell>
          <cell r="D47">
            <v>0</v>
          </cell>
        </row>
        <row r="48">
          <cell r="B48" t="e">
            <v>#VALUE!</v>
          </cell>
        </row>
        <row r="49">
          <cell r="B49" t="e">
            <v>#VALUE!</v>
          </cell>
        </row>
        <row r="50">
          <cell r="B50" t="str">
            <v>Bunkers recd in port</v>
          </cell>
        </row>
        <row r="51">
          <cell r="B51" t="str">
            <v>From</v>
          </cell>
          <cell r="C51" t="str">
            <v>To</v>
          </cell>
          <cell r="D51" t="str">
            <v>Grade</v>
          </cell>
          <cell r="E51" t="str">
            <v>Quantity</v>
          </cell>
          <cell r="F51" t="str">
            <v>Comments</v>
          </cell>
        </row>
        <row r="52">
          <cell r="B52" t="str">
            <v>d/m hh:mm</v>
          </cell>
          <cell r="C52" t="str">
            <v>d/m hh:mm</v>
          </cell>
        </row>
      </sheetData>
      <sheetData sheetId="13" refreshError="1"/>
      <sheetData sheetId="14" refreshError="1"/>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lines"/>
      <sheetName val="OIL PORT PERFORMANCE 19X - LOAD"/>
    </sheetNames>
    <sheetDataSet>
      <sheetData sheetId="0">
        <row r="1">
          <cell r="P1" t="str">
            <v>Select Port</v>
          </cell>
          <cell r="X1" t="str">
            <v>Select Delay Codes</v>
          </cell>
        </row>
        <row r="2">
          <cell r="X2" t="str">
            <v>FORCE MAJEURE</v>
          </cell>
        </row>
        <row r="3">
          <cell r="P3" t="str">
            <v>AABENRAA</v>
          </cell>
          <cell r="X3" t="str">
            <v>EMERGENCY</v>
          </cell>
        </row>
        <row r="4">
          <cell r="P4" t="str">
            <v>AABO</v>
          </cell>
          <cell r="X4" t="str">
            <v>EARLY ARRIVAL - BEFORE LAYCAN</v>
          </cell>
        </row>
        <row r="5">
          <cell r="P5" t="str">
            <v>AAHEIM</v>
          </cell>
          <cell r="X5" t="str">
            <v>LATE ARRIVAL- AFTER LAYCAN</v>
          </cell>
        </row>
        <row r="6">
          <cell r="P6" t="str">
            <v>AALBORG</v>
          </cell>
          <cell r="X6" t="str">
            <v>AWAITING DAY LIGHT</v>
          </cell>
        </row>
        <row r="7">
          <cell r="P7" t="str">
            <v>AALESUND</v>
          </cell>
          <cell r="X7" t="str">
            <v>AWAITING TIDE</v>
          </cell>
        </row>
        <row r="8">
          <cell r="P8" t="str">
            <v>AALVIK</v>
          </cell>
          <cell r="X8" t="str">
            <v>AWAITING BERTH / SHORE READINESS</v>
          </cell>
        </row>
        <row r="9">
          <cell r="P9" t="str">
            <v>AANDALSNES</v>
          </cell>
          <cell r="X9" t="str">
            <v>AWAITING SHIP READINESS</v>
          </cell>
        </row>
        <row r="10">
          <cell r="P10" t="str">
            <v>AARDAL</v>
          </cell>
          <cell r="X10" t="str">
            <v>AWAITING ULLAGE IN SHORE TANK</v>
          </cell>
        </row>
        <row r="11">
          <cell r="P11" t="str">
            <v>AARDALSTANGEN</v>
          </cell>
          <cell r="X11" t="str">
            <v>AWAITING DOCUMENTS</v>
          </cell>
        </row>
        <row r="12">
          <cell r="P12" t="str">
            <v>AARHUS</v>
          </cell>
          <cell r="X12" t="str">
            <v>AWAITING IMMIGRATION / QUARANTINE</v>
          </cell>
        </row>
        <row r="13">
          <cell r="P13" t="str">
            <v>ABADAN</v>
          </cell>
          <cell r="X13" t="str">
            <v>AWAITING CUSTOM CLEARANCE</v>
          </cell>
        </row>
        <row r="14">
          <cell r="P14" t="str">
            <v>ABBOT POINT</v>
          </cell>
          <cell r="X14" t="str">
            <v>AWAITING  MOORING TEAM</v>
          </cell>
        </row>
        <row r="15">
          <cell r="P15" t="str">
            <v>ABERDEEN</v>
          </cell>
          <cell r="X15" t="str">
            <v>AWAITING  LOADING MASTER</v>
          </cell>
        </row>
        <row r="16">
          <cell r="P16" t="str">
            <v>ABIDJAN</v>
          </cell>
          <cell r="X16" t="str">
            <v>AWAITING PILOT</v>
          </cell>
        </row>
        <row r="17">
          <cell r="P17" t="str">
            <v>ABO</v>
          </cell>
          <cell r="X17" t="str">
            <v>AWAITING SURVEYOR</v>
          </cell>
        </row>
        <row r="18">
          <cell r="P18" t="str">
            <v>ABU DHABI</v>
          </cell>
          <cell r="X18" t="str">
            <v>AWAITING AGENT</v>
          </cell>
        </row>
        <row r="19">
          <cell r="P19" t="str">
            <v>ABU ZENIMA</v>
          </cell>
          <cell r="X19" t="str">
            <v>AWAITING SAMPLING / QUALITY RESULTS</v>
          </cell>
        </row>
        <row r="20">
          <cell r="P20" t="str">
            <v>ACAJUTLA</v>
          </cell>
          <cell r="X20" t="str">
            <v>BLENDING PRODUCT</v>
          </cell>
        </row>
        <row r="21">
          <cell r="P21" t="str">
            <v>ACAPULCO</v>
          </cell>
          <cell r="X21" t="str">
            <v>AWAITING CARGO AVAILABILITY</v>
          </cell>
        </row>
        <row r="22">
          <cell r="P22" t="str">
            <v>ACCRA</v>
          </cell>
          <cell r="X22" t="str">
            <v>AWAITING TUGS</v>
          </cell>
        </row>
        <row r="23">
          <cell r="P23" t="str">
            <v>ADABIYA</v>
          </cell>
          <cell r="X23" t="str">
            <v>DELYS DUE TO OIL BOOM DEPLOYMENT OR RECOVERY</v>
          </cell>
        </row>
        <row r="24">
          <cell r="P24" t="str">
            <v>ADALIA</v>
          </cell>
          <cell r="X24" t="str">
            <v>LINE DISPLACEMENT / BLOWING BACK</v>
          </cell>
        </row>
        <row r="25">
          <cell r="P25" t="str">
            <v>ADAMAS</v>
          </cell>
          <cell r="X25" t="str">
            <v>DELAYS DUE TO GRADE CHANGE</v>
          </cell>
        </row>
        <row r="26">
          <cell r="P26" t="str">
            <v>ADELAIDE</v>
          </cell>
          <cell r="X26" t="str">
            <v>WEATHER DELAYS</v>
          </cell>
        </row>
        <row r="27">
          <cell r="P27" t="str">
            <v>ADEN</v>
          </cell>
          <cell r="X27" t="str">
            <v>DISCHARGING OFFSPEC CARGO</v>
          </cell>
        </row>
        <row r="28">
          <cell r="P28" t="str">
            <v>AGADIR</v>
          </cell>
          <cell r="X28" t="str">
            <v>REMOORING / SHIFTING</v>
          </cell>
        </row>
        <row r="29">
          <cell r="P29" t="str">
            <v>AGHIOS NIKOLAOS</v>
          </cell>
          <cell r="X29" t="str">
            <v>SHIP - BREAKDOWN</v>
          </cell>
        </row>
        <row r="30">
          <cell r="P30" t="str">
            <v>AGIO TEODOROI</v>
          </cell>
          <cell r="X30" t="str">
            <v>SHORE - BREAKDOWN</v>
          </cell>
        </row>
        <row r="31">
          <cell r="P31" t="str">
            <v>AGUATHUNA</v>
          </cell>
          <cell r="X31" t="str">
            <v>SHIP REJECTED / TANKS REJECTED</v>
          </cell>
        </row>
        <row r="32">
          <cell r="P32" t="str">
            <v>AGUILAS</v>
          </cell>
          <cell r="X32" t="str">
            <v>LOW PUMPING RATE</v>
          </cell>
        </row>
        <row r="33">
          <cell r="P33" t="str">
            <v>AHUS</v>
          </cell>
          <cell r="X33" t="str">
            <v>RECONCILING CARGO FIGURES</v>
          </cell>
        </row>
        <row r="34">
          <cell r="P34" t="str">
            <v>AIN SUKHNA</v>
          </cell>
          <cell r="X34" t="str">
            <v>SHORE SHIFT CHANGE</v>
          </cell>
        </row>
        <row r="35">
          <cell r="P35" t="str">
            <v>AIOI</v>
          </cell>
          <cell r="X35" t="str">
            <v>GAS FREE/VENTING/INERTING TANKS</v>
          </cell>
        </row>
        <row r="36">
          <cell r="P36" t="str">
            <v>AJACCIO</v>
          </cell>
          <cell r="X36" t="str">
            <v>COW - NOT CONCURRENT WITH OPS</v>
          </cell>
        </row>
        <row r="37">
          <cell r="P37" t="str">
            <v>AKITSU</v>
          </cell>
          <cell r="X37" t="str">
            <v>INTERNAL DRAINING / STRIPPING /SEGREGATION OF CARGO</v>
          </cell>
        </row>
        <row r="38">
          <cell r="P38" t="str">
            <v>AKPO FPSO</v>
          </cell>
          <cell r="X38" t="str">
            <v>STORING / BUNKERING</v>
          </cell>
        </row>
        <row r="39">
          <cell r="P39" t="str">
            <v>AKROTIRI</v>
          </cell>
          <cell r="X39" t="str">
            <v>AWAITING GANGWAY</v>
          </cell>
        </row>
        <row r="40">
          <cell r="P40" t="str">
            <v>AKUREYRI</v>
          </cell>
          <cell r="X40" t="str">
            <v>SHIP - OTHER (GIVE COMMENTS)</v>
          </cell>
        </row>
        <row r="41">
          <cell r="P41" t="str">
            <v>AKYAB</v>
          </cell>
          <cell r="X41" t="str">
            <v>SHORE - OTHER (GIVE COMMENTS)</v>
          </cell>
        </row>
        <row r="42">
          <cell r="P42" t="str">
            <v>AL HOCEIMA</v>
          </cell>
        </row>
        <row r="43">
          <cell r="P43" t="str">
            <v>AL HUCEMAS</v>
          </cell>
        </row>
        <row r="44">
          <cell r="P44" t="str">
            <v>AL JUBAIL</v>
          </cell>
        </row>
        <row r="45">
          <cell r="P45" t="str">
            <v>AL JURF</v>
          </cell>
        </row>
        <row r="46">
          <cell r="P46" t="str">
            <v>AL LITH</v>
          </cell>
        </row>
        <row r="47">
          <cell r="P47" t="str">
            <v>ALBANY (AUS)</v>
          </cell>
        </row>
        <row r="48">
          <cell r="P48" t="str">
            <v>ALBANY (USA)</v>
          </cell>
        </row>
        <row r="49">
          <cell r="P49" t="str">
            <v>ALDABRA ISLAND</v>
          </cell>
        </row>
        <row r="50">
          <cell r="P50" t="str">
            <v>ALESUND</v>
          </cell>
        </row>
        <row r="51">
          <cell r="P51" t="str">
            <v>ALEXANDRIA</v>
          </cell>
        </row>
        <row r="52">
          <cell r="P52" t="str">
            <v>ALEXANDROUPOLIS</v>
          </cell>
        </row>
        <row r="53">
          <cell r="P53" t="str">
            <v>ALGECIRAS</v>
          </cell>
        </row>
        <row r="54">
          <cell r="P54" t="str">
            <v>ALGIERS</v>
          </cell>
        </row>
        <row r="55">
          <cell r="P55" t="str">
            <v>ALGOA BAY</v>
          </cell>
        </row>
        <row r="56">
          <cell r="P56" t="str">
            <v>ALIAGA</v>
          </cell>
        </row>
        <row r="57">
          <cell r="P57" t="str">
            <v>ALICANTE</v>
          </cell>
        </row>
        <row r="58">
          <cell r="P58" t="str">
            <v>ALMERIA</v>
          </cell>
        </row>
        <row r="59">
          <cell r="P59" t="str">
            <v>ALMIRANTE</v>
          </cell>
        </row>
        <row r="60">
          <cell r="P60" t="str">
            <v>ALOTAU/PORT MORESBY</v>
          </cell>
        </row>
        <row r="61">
          <cell r="P61" t="str">
            <v>ALSEN</v>
          </cell>
        </row>
        <row r="62">
          <cell r="P62" t="str">
            <v>ALTAGRACIA</v>
          </cell>
        </row>
        <row r="63">
          <cell r="P63" t="str">
            <v>ALTAMIRA</v>
          </cell>
        </row>
        <row r="64">
          <cell r="P64" t="str">
            <v>AMAGR</v>
          </cell>
        </row>
        <row r="65">
          <cell r="P65" t="str">
            <v>AMAMAPARE</v>
          </cell>
        </row>
        <row r="66">
          <cell r="P66" t="str">
            <v>AMAMIOSHIMA</v>
          </cell>
        </row>
        <row r="67">
          <cell r="P67" t="str">
            <v>AMBARLI</v>
          </cell>
        </row>
        <row r="68">
          <cell r="P68" t="str">
            <v>AMBAS BAY</v>
          </cell>
        </row>
        <row r="69">
          <cell r="P69" t="str">
            <v>AMBILOBE BAY</v>
          </cell>
        </row>
        <row r="70">
          <cell r="P70" t="str">
            <v>AMBOINA</v>
          </cell>
        </row>
        <row r="71">
          <cell r="P71" t="str">
            <v>AMBON</v>
          </cell>
        </row>
        <row r="72">
          <cell r="P72" t="str">
            <v>AMORGOS</v>
          </cell>
        </row>
        <row r="73">
          <cell r="P73" t="str">
            <v>AMOY</v>
          </cell>
        </row>
        <row r="74">
          <cell r="P74" t="str">
            <v>AMPENAN</v>
          </cell>
        </row>
        <row r="75">
          <cell r="P75" t="str">
            <v>AMSTERDAM</v>
          </cell>
        </row>
        <row r="76">
          <cell r="P76" t="str">
            <v>AMUAY BAY</v>
          </cell>
        </row>
        <row r="77">
          <cell r="P77" t="str">
            <v>ANACORTES</v>
          </cell>
        </row>
        <row r="78">
          <cell r="P78" t="str">
            <v>ANCHORAGE</v>
          </cell>
        </row>
        <row r="79">
          <cell r="P79" t="str">
            <v>ANCONA</v>
          </cell>
        </row>
        <row r="80">
          <cell r="P80" t="str">
            <v>ANDROS</v>
          </cell>
        </row>
        <row r="81">
          <cell r="P81" t="str">
            <v>ANEWA BAY</v>
          </cell>
        </row>
        <row r="82">
          <cell r="P82" t="str">
            <v>ANGO ANGO</v>
          </cell>
        </row>
        <row r="83">
          <cell r="P83" t="str">
            <v>ANGRA DOS REIS</v>
          </cell>
        </row>
        <row r="84">
          <cell r="P84" t="str">
            <v>ANNABA</v>
          </cell>
        </row>
        <row r="85">
          <cell r="P85" t="str">
            <v>ANNAPOLIS</v>
          </cell>
        </row>
        <row r="86">
          <cell r="P86" t="str">
            <v>ANTALAHA</v>
          </cell>
        </row>
        <row r="87">
          <cell r="P87" t="str">
            <v>ANTALYA</v>
          </cell>
        </row>
        <row r="88">
          <cell r="P88" t="str">
            <v>ANTAN TERMINAL,NIGERIA</v>
          </cell>
        </row>
        <row r="89">
          <cell r="P89" t="str">
            <v>ANTIBES</v>
          </cell>
        </row>
        <row r="90">
          <cell r="P90" t="str">
            <v>ANTIFER</v>
          </cell>
        </row>
        <row r="91">
          <cell r="P91" t="str">
            <v>ANTIKYRA</v>
          </cell>
        </row>
        <row r="92">
          <cell r="P92" t="str">
            <v>ANTILLA</v>
          </cell>
        </row>
        <row r="93">
          <cell r="P93" t="str">
            <v>ANTIOCH</v>
          </cell>
        </row>
        <row r="94">
          <cell r="P94" t="str">
            <v>ANTOFAGASTA</v>
          </cell>
        </row>
        <row r="95">
          <cell r="P95" t="str">
            <v>ANTSIRANANA</v>
          </cell>
        </row>
        <row r="96">
          <cell r="P96" t="str">
            <v>ANTWERP</v>
          </cell>
        </row>
        <row r="97">
          <cell r="P97" t="str">
            <v>ANVERS (ANTWERPEN)</v>
          </cell>
        </row>
        <row r="98">
          <cell r="P98" t="str">
            <v>ANYER</v>
          </cell>
        </row>
        <row r="99">
          <cell r="P99" t="str">
            <v>AOMORI</v>
          </cell>
        </row>
        <row r="100">
          <cell r="P100" t="str">
            <v>AOSHAN</v>
          </cell>
        </row>
        <row r="101">
          <cell r="P101" t="str">
            <v>APAPA</v>
          </cell>
        </row>
        <row r="102">
          <cell r="P102" t="str">
            <v>API API</v>
          </cell>
        </row>
        <row r="103">
          <cell r="P103" t="str">
            <v>APIA</v>
          </cell>
        </row>
        <row r="104">
          <cell r="P104" t="str">
            <v>APIAPI</v>
          </cell>
        </row>
        <row r="105">
          <cell r="P105" t="str">
            <v>AQABA</v>
          </cell>
        </row>
        <row r="106">
          <cell r="P106" t="str">
            <v>ARACAJU</v>
          </cell>
        </row>
        <row r="107">
          <cell r="P107" t="str">
            <v>ARATU</v>
          </cell>
        </row>
        <row r="108">
          <cell r="P108" t="str">
            <v>ARBATAX</v>
          </cell>
        </row>
        <row r="109">
          <cell r="P109" t="str">
            <v>ARBROATH</v>
          </cell>
        </row>
        <row r="110">
          <cell r="P110" t="str">
            <v>ARCHANGEL</v>
          </cell>
        </row>
        <row r="111">
          <cell r="P111" t="str">
            <v>ARDAL</v>
          </cell>
        </row>
        <row r="112">
          <cell r="P112" t="str">
            <v>ARDROSSAN</v>
          </cell>
        </row>
        <row r="113">
          <cell r="P113" t="str">
            <v>ARENDAL</v>
          </cell>
        </row>
        <row r="114">
          <cell r="P114" t="str">
            <v>ARGENTIA</v>
          </cell>
        </row>
        <row r="115">
          <cell r="P115" t="str">
            <v>ARGOSTOLION</v>
          </cell>
        </row>
        <row r="116">
          <cell r="P116" t="str">
            <v>ARHUS</v>
          </cell>
        </row>
        <row r="117">
          <cell r="P117" t="str">
            <v>ARICA</v>
          </cell>
        </row>
        <row r="118">
          <cell r="P118" t="str">
            <v>ARROYO</v>
          </cell>
        </row>
        <row r="119">
          <cell r="P119" t="str">
            <v>ARUBA</v>
          </cell>
        </row>
        <row r="120">
          <cell r="P120" t="str">
            <v>ARWAD ISLAND</v>
          </cell>
        </row>
        <row r="121">
          <cell r="P121" t="str">
            <v>ARZEW</v>
          </cell>
        </row>
        <row r="122">
          <cell r="P122" t="str">
            <v>ASALUYEH</v>
          </cell>
        </row>
        <row r="123">
          <cell r="P123" t="str">
            <v>ASCENSION ISLAND</v>
          </cell>
        </row>
        <row r="124">
          <cell r="P124" t="str">
            <v>ASH SHIHR TERMINAL</v>
          </cell>
        </row>
        <row r="125">
          <cell r="P125" t="str">
            <v>ASHDOD</v>
          </cell>
        </row>
        <row r="126">
          <cell r="P126" t="str">
            <v>ASHTART</v>
          </cell>
        </row>
        <row r="127">
          <cell r="P127" t="str">
            <v>ASNAES</v>
          </cell>
        </row>
        <row r="128">
          <cell r="P128" t="str">
            <v>ASSAB</v>
          </cell>
        </row>
        <row r="129">
          <cell r="P129" t="str">
            <v>ASSENS</v>
          </cell>
        </row>
        <row r="130">
          <cell r="P130" t="str">
            <v>ASTORIA</v>
          </cell>
        </row>
        <row r="131">
          <cell r="P131" t="str">
            <v>AT SEA OH, OFF HIRE AT SEA</v>
          </cell>
        </row>
        <row r="132">
          <cell r="P132" t="str">
            <v>ATHENS</v>
          </cell>
        </row>
        <row r="133">
          <cell r="P133" t="str">
            <v>ATRECO</v>
          </cell>
        </row>
        <row r="134">
          <cell r="P134" t="str">
            <v>ATSUMI</v>
          </cell>
        </row>
        <row r="135">
          <cell r="P135" t="str">
            <v>AUCKLAND</v>
          </cell>
        </row>
        <row r="136">
          <cell r="P136" t="str">
            <v>AUGHINISH</v>
          </cell>
        </row>
        <row r="137">
          <cell r="P137" t="str">
            <v>AUGUSTA</v>
          </cell>
        </row>
        <row r="138">
          <cell r="P138" t="str">
            <v>AULTBEA</v>
          </cell>
        </row>
        <row r="139">
          <cell r="P139" t="str">
            <v>AUX CAYES</v>
          </cell>
        </row>
        <row r="140">
          <cell r="P140" t="str">
            <v>AVEIRO</v>
          </cell>
        </row>
        <row r="141">
          <cell r="P141" t="str">
            <v>AVILES</v>
          </cell>
        </row>
        <row r="142">
          <cell r="P142" t="str">
            <v>AVONDALE</v>
          </cell>
        </row>
        <row r="143">
          <cell r="P143" t="str">
            <v>AVONMOUTH</v>
          </cell>
        </row>
        <row r="144">
          <cell r="P144" t="str">
            <v>AXELSVIK</v>
          </cell>
        </row>
        <row r="145">
          <cell r="P145" t="str">
            <v>AYIOS NIKOLAS</v>
          </cell>
        </row>
        <row r="146">
          <cell r="P146" t="str">
            <v>AYR</v>
          </cell>
        </row>
        <row r="147">
          <cell r="P147" t="str">
            <v>AZUA</v>
          </cell>
        </row>
        <row r="148">
          <cell r="P148" t="str">
            <v>AZURITE</v>
          </cell>
        </row>
        <row r="149">
          <cell r="P149" t="str">
            <v>BAATSFJORD</v>
          </cell>
        </row>
        <row r="150">
          <cell r="P150" t="str">
            <v>BACHAQUERO</v>
          </cell>
        </row>
        <row r="151">
          <cell r="P151" t="str">
            <v>BAGAN LUAR</v>
          </cell>
        </row>
        <row r="152">
          <cell r="P152" t="str">
            <v>BAGAN SI API API</v>
          </cell>
        </row>
        <row r="153">
          <cell r="P153" t="str">
            <v>BAGNOLI</v>
          </cell>
        </row>
        <row r="154">
          <cell r="P154" t="str">
            <v>BAHIA BLANCA</v>
          </cell>
        </row>
        <row r="155">
          <cell r="P155" t="str">
            <v>BAHIA LAS MINAS</v>
          </cell>
        </row>
        <row r="156">
          <cell r="P156" t="str">
            <v>BAHRAIN</v>
          </cell>
        </row>
        <row r="157">
          <cell r="P157" t="str">
            <v>BAIE COMEAU</v>
          </cell>
        </row>
        <row r="158">
          <cell r="P158" t="str">
            <v>BAIE VERTE</v>
          </cell>
        </row>
        <row r="159">
          <cell r="P159" t="str">
            <v>BAIS</v>
          </cell>
        </row>
        <row r="160">
          <cell r="P160" t="str">
            <v>BAJO GRANDE</v>
          </cell>
        </row>
        <row r="161">
          <cell r="P161" t="str">
            <v>BAKAR</v>
          </cell>
        </row>
        <row r="162">
          <cell r="P162" t="str">
            <v>BAKAR RIJEKA</v>
          </cell>
        </row>
        <row r="163">
          <cell r="P163" t="str">
            <v>BALAGO</v>
          </cell>
        </row>
        <row r="164">
          <cell r="P164" t="str">
            <v>BALBOA</v>
          </cell>
        </row>
        <row r="165">
          <cell r="P165" t="str">
            <v>BALIKPAPAN</v>
          </cell>
        </row>
        <row r="166">
          <cell r="P166" t="str">
            <v>BALLANGEN</v>
          </cell>
        </row>
        <row r="167">
          <cell r="P167" t="str">
            <v>BALTIMORE</v>
          </cell>
        </row>
        <row r="168">
          <cell r="P168" t="str">
            <v>BALTIYSK</v>
          </cell>
        </row>
        <row r="169">
          <cell r="P169" t="str">
            <v>BALUMO</v>
          </cell>
        </row>
        <row r="170">
          <cell r="P170" t="str">
            <v>BAMBERTON</v>
          </cell>
        </row>
        <row r="171">
          <cell r="P171" t="str">
            <v>BANABA</v>
          </cell>
        </row>
        <row r="172">
          <cell r="P172" t="str">
            <v>BANANA</v>
          </cell>
        </row>
        <row r="173">
          <cell r="P173" t="str">
            <v>BANDAR ABBAS</v>
          </cell>
        </row>
        <row r="174">
          <cell r="P174" t="str">
            <v>BANDAR KHOMEINI</v>
          </cell>
        </row>
        <row r="175">
          <cell r="P175" t="str">
            <v>BANDAR MAHSHAHR</v>
          </cell>
        </row>
        <row r="176">
          <cell r="P176" t="str">
            <v>BANDAR SHAHPOUR</v>
          </cell>
        </row>
        <row r="177">
          <cell r="P177" t="str">
            <v>BANDIRMA</v>
          </cell>
        </row>
        <row r="178">
          <cell r="P178" t="str">
            <v>BANGKOK</v>
          </cell>
        </row>
        <row r="179">
          <cell r="P179" t="str">
            <v>BANGOR (USA)</v>
          </cell>
        </row>
        <row r="180">
          <cell r="P180" t="str">
            <v>BANIAS</v>
          </cell>
        </row>
        <row r="181">
          <cell r="P181" t="str">
            <v>BANJARMASIN</v>
          </cell>
        </row>
        <row r="182">
          <cell r="P182" t="str">
            <v>BANJUL</v>
          </cell>
        </row>
        <row r="183">
          <cell r="P183" t="str">
            <v>BANTRY BAY</v>
          </cell>
        </row>
        <row r="184">
          <cell r="P184" t="str">
            <v>BAOBAB TERMINAL</v>
          </cell>
        </row>
        <row r="185">
          <cell r="P185" t="str">
            <v>BAOSHAN</v>
          </cell>
        </row>
        <row r="186">
          <cell r="P186" t="str">
            <v>BAR</v>
          </cell>
        </row>
        <row r="187">
          <cell r="P187" t="str">
            <v>BARAHONA</v>
          </cell>
        </row>
        <row r="188">
          <cell r="P188" t="str">
            <v>BARBADOS</v>
          </cell>
        </row>
        <row r="189">
          <cell r="P189" t="str">
            <v>BARBERS POINT</v>
          </cell>
        </row>
        <row r="190">
          <cell r="P190" t="str">
            <v>BARCELONA</v>
          </cell>
        </row>
        <row r="191">
          <cell r="P191" t="str">
            <v>BARI</v>
          </cell>
        </row>
        <row r="192">
          <cell r="P192" t="str">
            <v>BARLETTA</v>
          </cell>
        </row>
        <row r="193">
          <cell r="P193" t="str">
            <v>BARQUITO</v>
          </cell>
        </row>
        <row r="194">
          <cell r="P194" t="str">
            <v>BARRANQUILLA</v>
          </cell>
        </row>
        <row r="195">
          <cell r="P195" t="str">
            <v>BARREIRO</v>
          </cell>
        </row>
        <row r="196">
          <cell r="P196" t="str">
            <v>BARROW</v>
          </cell>
        </row>
        <row r="197">
          <cell r="P197" t="str">
            <v>BARROW IN FURNESS</v>
          </cell>
        </row>
        <row r="198">
          <cell r="P198" t="str">
            <v>BARROW ISLAND</v>
          </cell>
        </row>
        <row r="199">
          <cell r="P199" t="str">
            <v>BARRY DOCK</v>
          </cell>
        </row>
        <row r="200">
          <cell r="P200" t="str">
            <v>BARTON (HUMBER)</v>
          </cell>
        </row>
        <row r="201">
          <cell r="P201" t="str">
            <v>BARTON (MERSEY)</v>
          </cell>
        </row>
        <row r="202">
          <cell r="P202" t="str">
            <v>BASHAYER</v>
          </cell>
        </row>
        <row r="203">
          <cell r="P203" t="str">
            <v>BASRA</v>
          </cell>
        </row>
        <row r="204">
          <cell r="P204" t="str">
            <v>BASSEIN</v>
          </cell>
        </row>
        <row r="205">
          <cell r="P205" t="str">
            <v>BASSENS</v>
          </cell>
        </row>
        <row r="206">
          <cell r="P206" t="str">
            <v>BASTIA</v>
          </cell>
        </row>
        <row r="207">
          <cell r="P207" t="str">
            <v>BATAAN</v>
          </cell>
        </row>
        <row r="208">
          <cell r="P208" t="str">
            <v>BATANGAS</v>
          </cell>
        </row>
        <row r="209">
          <cell r="P209" t="str">
            <v>BATHURST (CAN)</v>
          </cell>
        </row>
        <row r="210">
          <cell r="P210" t="str">
            <v>BATHURST (GAMBIA)</v>
          </cell>
        </row>
        <row r="211">
          <cell r="P211" t="str">
            <v>BATON ROUGE</v>
          </cell>
        </row>
        <row r="212">
          <cell r="P212" t="str">
            <v>BATTICALOA</v>
          </cell>
        </row>
        <row r="213">
          <cell r="P213" t="str">
            <v>BATUM</v>
          </cell>
        </row>
        <row r="214">
          <cell r="P214" t="str">
            <v>BATUMI</v>
          </cell>
        </row>
        <row r="215">
          <cell r="P215" t="str">
            <v>BAY CITY</v>
          </cell>
        </row>
        <row r="216">
          <cell r="P216" t="str">
            <v>BAY ROBERTS</v>
          </cell>
        </row>
        <row r="217">
          <cell r="P217" t="str">
            <v>BAYONNE</v>
          </cell>
        </row>
        <row r="218">
          <cell r="P218" t="str">
            <v>BAYONNE (USA)</v>
          </cell>
        </row>
        <row r="219">
          <cell r="P219" t="str">
            <v>BAYTOWN</v>
          </cell>
        </row>
        <row r="220">
          <cell r="P220" t="str">
            <v>BAYUQUAN</v>
          </cell>
        </row>
        <row r="221">
          <cell r="P221" t="str">
            <v>BEAUMONT</v>
          </cell>
        </row>
        <row r="222">
          <cell r="P222" t="str">
            <v>BEC D'AMBES</v>
          </cell>
        </row>
        <row r="223">
          <cell r="P223" t="str">
            <v>BECANCOUR</v>
          </cell>
        </row>
        <row r="224">
          <cell r="P224" t="str">
            <v>BEDI</v>
          </cell>
        </row>
        <row r="225">
          <cell r="P225" t="str">
            <v>BEIHAI</v>
          </cell>
        </row>
        <row r="226">
          <cell r="P226" t="str">
            <v>BEILUN</v>
          </cell>
        </row>
        <row r="227">
          <cell r="P227" t="str">
            <v>BEIRA</v>
          </cell>
        </row>
        <row r="228">
          <cell r="P228" t="str">
            <v>BEIRUT</v>
          </cell>
        </row>
        <row r="229">
          <cell r="P229" t="str">
            <v>BEJAIA</v>
          </cell>
        </row>
        <row r="230">
          <cell r="P230" t="str">
            <v>BELAWAN</v>
          </cell>
        </row>
        <row r="231">
          <cell r="P231" t="str">
            <v>BELEM</v>
          </cell>
        </row>
        <row r="232">
          <cell r="P232" t="str">
            <v>BELFAST</v>
          </cell>
        </row>
        <row r="233">
          <cell r="P233" t="str">
            <v>BELIDA</v>
          </cell>
        </row>
        <row r="234">
          <cell r="P234" t="str">
            <v>BELIZE</v>
          </cell>
        </row>
        <row r="235">
          <cell r="P235" t="str">
            <v>BELIZE CITY</v>
          </cell>
        </row>
        <row r="236">
          <cell r="P236" t="str">
            <v>BELL BAY</v>
          </cell>
        </row>
        <row r="237">
          <cell r="P237" t="str">
            <v>BELLE DUNE</v>
          </cell>
        </row>
        <row r="238">
          <cell r="P238" t="str">
            <v>BELLEDUNE</v>
          </cell>
        </row>
        <row r="239">
          <cell r="P239" t="str">
            <v>BELLINGHAM</v>
          </cell>
        </row>
        <row r="240">
          <cell r="P240" t="str">
            <v>BENCHAMAS TERMINAL,THAILAND</v>
          </cell>
        </row>
        <row r="241">
          <cell r="P241" t="str">
            <v>BENGHAZI</v>
          </cell>
        </row>
        <row r="242">
          <cell r="P242" t="str">
            <v>BENGKULU</v>
          </cell>
        </row>
        <row r="243">
          <cell r="P243" t="str">
            <v>BENOA</v>
          </cell>
        </row>
        <row r="244">
          <cell r="P244" t="str">
            <v>BEPPU</v>
          </cell>
        </row>
        <row r="245">
          <cell r="P245" t="str">
            <v>BERBERA</v>
          </cell>
        </row>
        <row r="246">
          <cell r="P246" t="str">
            <v>BERDIANSK</v>
          </cell>
        </row>
        <row r="247">
          <cell r="P247" t="str">
            <v>BEREHAVEN</v>
          </cell>
        </row>
        <row r="248">
          <cell r="P248" t="str">
            <v>BERGEN</v>
          </cell>
        </row>
        <row r="249">
          <cell r="P249" t="str">
            <v>BERLEVAAG</v>
          </cell>
        </row>
        <row r="250">
          <cell r="P250" t="str">
            <v>BERRE</v>
          </cell>
        </row>
        <row r="251">
          <cell r="P251" t="str">
            <v>BERVILLE</v>
          </cell>
        </row>
        <row r="252">
          <cell r="P252" t="str">
            <v>BETHIOUA, ALGERIA</v>
          </cell>
        </row>
        <row r="253">
          <cell r="P253" t="str">
            <v>BHAVNAGAR</v>
          </cell>
        </row>
        <row r="254">
          <cell r="P254" t="str">
            <v>BHEEMUNIPATNAM</v>
          </cell>
        </row>
        <row r="255">
          <cell r="P255" t="str">
            <v>BIAK</v>
          </cell>
        </row>
        <row r="256">
          <cell r="P256" t="str">
            <v>BIDEFORD</v>
          </cell>
        </row>
        <row r="257">
          <cell r="P257" t="str">
            <v>BIG STONE BEACH ANCHORAGE</v>
          </cell>
        </row>
        <row r="258">
          <cell r="P258" t="str">
            <v>BILBAO</v>
          </cell>
        </row>
        <row r="259">
          <cell r="P259" t="str">
            <v>BINGAZI</v>
          </cell>
        </row>
        <row r="260">
          <cell r="P260" t="str">
            <v>BINTULU</v>
          </cell>
        </row>
        <row r="261">
          <cell r="P261" t="str">
            <v>BIOCO ISLAND</v>
          </cell>
        </row>
        <row r="262">
          <cell r="P262" t="str">
            <v>BIRINGKASSI</v>
          </cell>
        </row>
        <row r="263">
          <cell r="P263" t="str">
            <v>BIRKENHEAD</v>
          </cell>
        </row>
        <row r="264">
          <cell r="P264" t="str">
            <v>BISHOP ROCK</v>
          </cell>
        </row>
        <row r="265">
          <cell r="P265" t="str">
            <v>BISSAU</v>
          </cell>
        </row>
        <row r="266">
          <cell r="P266" t="str">
            <v>BITUNG</v>
          </cell>
        </row>
        <row r="267">
          <cell r="P267" t="str">
            <v>BIYAWA</v>
          </cell>
        </row>
        <row r="268">
          <cell r="P268" t="str">
            <v>BIZERTA</v>
          </cell>
        </row>
        <row r="269">
          <cell r="P269" t="str">
            <v>BJORNEBORG</v>
          </cell>
        </row>
        <row r="270">
          <cell r="P270" t="str">
            <v>BLAYE</v>
          </cell>
        </row>
        <row r="271">
          <cell r="P271" t="str">
            <v>BLEXEN</v>
          </cell>
        </row>
        <row r="272">
          <cell r="P272" t="str">
            <v>BLIND RIVER</v>
          </cell>
        </row>
        <row r="273">
          <cell r="P273" t="str">
            <v>BLUFF HARBOUR</v>
          </cell>
        </row>
        <row r="274">
          <cell r="P274" t="str">
            <v>BLYTH</v>
          </cell>
        </row>
        <row r="275">
          <cell r="P275" t="str">
            <v>BOCA GRANDE</v>
          </cell>
        </row>
        <row r="276">
          <cell r="P276" t="str">
            <v>BODO</v>
          </cell>
        </row>
        <row r="277">
          <cell r="P277" t="str">
            <v>BODRUM</v>
          </cell>
        </row>
        <row r="278">
          <cell r="P278" t="str">
            <v>BOMA</v>
          </cell>
        </row>
        <row r="279">
          <cell r="P279" t="str">
            <v>BOMBAY</v>
          </cell>
        </row>
        <row r="280">
          <cell r="P280" t="str">
            <v>BONA</v>
          </cell>
        </row>
        <row r="281">
          <cell r="P281" t="str">
            <v>BONAIRE</v>
          </cell>
        </row>
        <row r="282">
          <cell r="P282" t="str">
            <v>BONAIRE ISLAND</v>
          </cell>
        </row>
        <row r="283">
          <cell r="P283" t="str">
            <v>BO'NESS</v>
          </cell>
        </row>
        <row r="284">
          <cell r="P284" t="str">
            <v>BONGA</v>
          </cell>
        </row>
        <row r="285">
          <cell r="P285" t="str">
            <v>BONNY</v>
          </cell>
        </row>
        <row r="286">
          <cell r="P286" t="str">
            <v>BONNY TERMINAL</v>
          </cell>
        </row>
        <row r="287">
          <cell r="P287" t="str">
            <v>BORBURATA, VENEZUELA</v>
          </cell>
        </row>
        <row r="288">
          <cell r="P288" t="str">
            <v>BORDEAUX</v>
          </cell>
        </row>
        <row r="289">
          <cell r="P289" t="str">
            <v>BORGA</v>
          </cell>
        </row>
        <row r="290">
          <cell r="P290" t="str">
            <v>BORNHOLM, DENMARK</v>
          </cell>
        </row>
        <row r="291">
          <cell r="P291" t="str">
            <v>BORSELE</v>
          </cell>
        </row>
        <row r="292">
          <cell r="P292" t="str">
            <v>BOSTON</v>
          </cell>
        </row>
        <row r="293">
          <cell r="P293" t="str">
            <v>BOTANY BAY</v>
          </cell>
        </row>
        <row r="294">
          <cell r="P294" t="str">
            <v>BOTWOOD</v>
          </cell>
        </row>
        <row r="295">
          <cell r="P295" t="str">
            <v>BOUGIE</v>
          </cell>
        </row>
        <row r="296">
          <cell r="P296" t="str">
            <v>BOULOGNE</v>
          </cell>
        </row>
        <row r="297">
          <cell r="P297" t="str">
            <v>BOURGAS</v>
          </cell>
        </row>
        <row r="298">
          <cell r="P298" t="str">
            <v>BOURI</v>
          </cell>
        </row>
        <row r="299">
          <cell r="P299" t="str">
            <v>BOURNE</v>
          </cell>
        </row>
        <row r="300">
          <cell r="P300" t="str">
            <v>BOWEN</v>
          </cell>
        </row>
        <row r="301">
          <cell r="P301" t="str">
            <v>BOWLING</v>
          </cell>
        </row>
        <row r="302">
          <cell r="P302" t="str">
            <v>BRAEFOOT BAY</v>
          </cell>
        </row>
        <row r="303">
          <cell r="P303" t="str">
            <v>BRAKE</v>
          </cell>
        </row>
        <row r="304">
          <cell r="P304" t="str">
            <v>BRASS RIVER, NIGERIA</v>
          </cell>
        </row>
        <row r="305">
          <cell r="P305" t="str">
            <v>BRASS TERMINAL</v>
          </cell>
        </row>
        <row r="306">
          <cell r="P306" t="str">
            <v>BRATTVAAG</v>
          </cell>
        </row>
        <row r="307">
          <cell r="P307" t="str">
            <v>BREMEN</v>
          </cell>
        </row>
        <row r="308">
          <cell r="P308" t="str">
            <v>BREMERHAVEN</v>
          </cell>
        </row>
        <row r="309">
          <cell r="P309" t="str">
            <v>BRENT, UK - NORTH SEA</v>
          </cell>
        </row>
        <row r="310">
          <cell r="P310" t="str">
            <v>BREST</v>
          </cell>
        </row>
        <row r="311">
          <cell r="P311" t="str">
            <v>BREVIK</v>
          </cell>
        </row>
        <row r="312">
          <cell r="P312" t="str">
            <v>BRIDGEPORT</v>
          </cell>
        </row>
        <row r="313">
          <cell r="P313" t="str">
            <v>BRIDGETOWN</v>
          </cell>
        </row>
        <row r="314">
          <cell r="P314" t="str">
            <v>BRIELLE</v>
          </cell>
        </row>
        <row r="315">
          <cell r="P315" t="str">
            <v>BRINDIS</v>
          </cell>
        </row>
        <row r="316">
          <cell r="P316" t="str">
            <v>BRINDISI</v>
          </cell>
        </row>
        <row r="317">
          <cell r="P317" t="str">
            <v>BRISBANE</v>
          </cell>
        </row>
        <row r="318">
          <cell r="P318" t="str">
            <v>BRISTOL</v>
          </cell>
        </row>
        <row r="319">
          <cell r="P319" t="str">
            <v>BRIXHAM</v>
          </cell>
        </row>
        <row r="320">
          <cell r="P320" t="str">
            <v>BROFJORDEN</v>
          </cell>
        </row>
        <row r="321">
          <cell r="P321" t="str">
            <v>BROMBOROUGH DOCK</v>
          </cell>
        </row>
        <row r="322">
          <cell r="P322" t="str">
            <v>BRONNOYSUND</v>
          </cell>
        </row>
        <row r="323">
          <cell r="P323" t="str">
            <v>BROOKLYN (CAN)</v>
          </cell>
        </row>
        <row r="324">
          <cell r="P324" t="str">
            <v>BROOME</v>
          </cell>
        </row>
        <row r="325">
          <cell r="P325" t="str">
            <v>BROWNSVILLE</v>
          </cell>
        </row>
        <row r="326">
          <cell r="P326" t="str">
            <v>BRUGES</v>
          </cell>
        </row>
        <row r="327">
          <cell r="P327" t="str">
            <v>BRUNSBUTTEL</v>
          </cell>
        </row>
        <row r="328">
          <cell r="P328" t="str">
            <v>BRUNSWICK</v>
          </cell>
        </row>
        <row r="329">
          <cell r="P329" t="str">
            <v>BRUSSELS</v>
          </cell>
        </row>
        <row r="330">
          <cell r="P330" t="str">
            <v>BUALUANG</v>
          </cell>
        </row>
        <row r="331">
          <cell r="P331" t="str">
            <v>BUATAN</v>
          </cell>
        </row>
        <row r="332">
          <cell r="P332" t="str">
            <v>BUCHANAN</v>
          </cell>
        </row>
        <row r="333">
          <cell r="P333" t="str">
            <v>BUCKNER BAY</v>
          </cell>
        </row>
        <row r="334">
          <cell r="P334" t="str">
            <v>BUCKSPORT</v>
          </cell>
        </row>
        <row r="335">
          <cell r="P335" t="str">
            <v>BUDGE BUDGE</v>
          </cell>
        </row>
        <row r="336">
          <cell r="P336" t="str">
            <v>BUDRUM</v>
          </cell>
        </row>
        <row r="337">
          <cell r="P337" t="str">
            <v>BUENAVENTURA</v>
          </cell>
        </row>
        <row r="338">
          <cell r="P338" t="str">
            <v>BUENOS AIRES</v>
          </cell>
        </row>
        <row r="339">
          <cell r="P339" t="str">
            <v>BUFFALO</v>
          </cell>
        </row>
        <row r="340">
          <cell r="P340" t="str">
            <v>BUKPYUNG</v>
          </cell>
        </row>
        <row r="341">
          <cell r="P341" t="str">
            <v>BUMPYO</v>
          </cell>
        </row>
        <row r="342">
          <cell r="P342" t="str">
            <v>BUNBURY</v>
          </cell>
        </row>
        <row r="343">
          <cell r="P343" t="str">
            <v>BUNDABERG</v>
          </cell>
        </row>
        <row r="344">
          <cell r="P344" t="str">
            <v>BUNGA KEKWA TERMINAL</v>
          </cell>
        </row>
        <row r="345">
          <cell r="P345" t="str">
            <v>BUNYO</v>
          </cell>
        </row>
        <row r="346">
          <cell r="P346" t="str">
            <v>BUNYU TERMINAL</v>
          </cell>
        </row>
        <row r="347">
          <cell r="P347" t="str">
            <v>BUNYU. PULAU</v>
          </cell>
        </row>
        <row r="348">
          <cell r="P348" t="str">
            <v>BURGAS</v>
          </cell>
        </row>
        <row r="349">
          <cell r="P349" t="str">
            <v>BURLINGTON</v>
          </cell>
        </row>
        <row r="350">
          <cell r="P350" t="str">
            <v>BURNIE</v>
          </cell>
        </row>
        <row r="351">
          <cell r="P351" t="str">
            <v>BURNS HARBOUR</v>
          </cell>
        </row>
        <row r="352">
          <cell r="P352" t="str">
            <v>BURNSIDE</v>
          </cell>
        </row>
        <row r="353">
          <cell r="P353" t="str">
            <v>BURNTISLAND</v>
          </cell>
        </row>
        <row r="354">
          <cell r="P354" t="str">
            <v>BUSAN</v>
          </cell>
        </row>
        <row r="355">
          <cell r="P355" t="str">
            <v>BUSHEHR</v>
          </cell>
        </row>
        <row r="356">
          <cell r="P356" t="str">
            <v>BUSHIRE</v>
          </cell>
        </row>
        <row r="357">
          <cell r="P357" t="str">
            <v>BUTINGE MARINE TERMINAL</v>
          </cell>
        </row>
        <row r="358">
          <cell r="P358" t="str">
            <v>BUTTERWORTH</v>
          </cell>
        </row>
        <row r="359">
          <cell r="P359" t="str">
            <v>CABEDELO</v>
          </cell>
        </row>
        <row r="360">
          <cell r="P360" t="str">
            <v>CABINDA</v>
          </cell>
        </row>
        <row r="361">
          <cell r="P361" t="str">
            <v>CABO BLANCO</v>
          </cell>
        </row>
        <row r="362">
          <cell r="P362" t="str">
            <v>CABO ROJO</v>
          </cell>
        </row>
        <row r="363">
          <cell r="P363" t="str">
            <v>CABO SAN ANTONIO</v>
          </cell>
        </row>
        <row r="364">
          <cell r="P364" t="str">
            <v>CADIZ</v>
          </cell>
        </row>
        <row r="365">
          <cell r="P365" t="str">
            <v>CAEN</v>
          </cell>
        </row>
        <row r="366">
          <cell r="P366" t="str">
            <v>CAGAYAN DE ORO</v>
          </cell>
        </row>
        <row r="367">
          <cell r="P367" t="str">
            <v>CAGLIARI</v>
          </cell>
        </row>
        <row r="368">
          <cell r="P368" t="str">
            <v>CAIBARIEN</v>
          </cell>
        </row>
        <row r="369">
          <cell r="P369" t="str">
            <v>CAIRNS</v>
          </cell>
        </row>
        <row r="370">
          <cell r="P370" t="str">
            <v>CALABAR</v>
          </cell>
        </row>
        <row r="371">
          <cell r="P371" t="str">
            <v>CALAIS</v>
          </cell>
        </row>
        <row r="372">
          <cell r="P372" t="str">
            <v>CALAPAN</v>
          </cell>
        </row>
        <row r="373">
          <cell r="P373" t="str">
            <v>CALCUTTA</v>
          </cell>
        </row>
        <row r="374">
          <cell r="P374" t="str">
            <v>CALDERA</v>
          </cell>
        </row>
        <row r="375">
          <cell r="P375" t="str">
            <v>CALDERA BAY</v>
          </cell>
        </row>
        <row r="376">
          <cell r="P376" t="str">
            <v>CALDERILLA</v>
          </cell>
        </row>
        <row r="377">
          <cell r="P377" t="str">
            <v>CALETA BARQUITO</v>
          </cell>
        </row>
        <row r="378">
          <cell r="P378" t="str">
            <v>CALETA CLARENCIA</v>
          </cell>
        </row>
        <row r="379">
          <cell r="P379" t="str">
            <v>CALETA CORDOVA</v>
          </cell>
        </row>
        <row r="380">
          <cell r="P380" t="str">
            <v>CALETA OLIVIA</v>
          </cell>
        </row>
        <row r="381">
          <cell r="P381" t="str">
            <v>CALETA PATILLOS</v>
          </cell>
        </row>
        <row r="382">
          <cell r="P382" t="str">
            <v>CALICUT</v>
          </cell>
        </row>
        <row r="383">
          <cell r="P383" t="str">
            <v>CALLAO</v>
          </cell>
        </row>
        <row r="384">
          <cell r="P384" t="str">
            <v>CALOUNDRA HEAD</v>
          </cell>
        </row>
        <row r="385">
          <cell r="P385" t="str">
            <v>CAMDEN</v>
          </cell>
        </row>
        <row r="386">
          <cell r="P386" t="str">
            <v>CAMP LLOYD</v>
          </cell>
        </row>
        <row r="387">
          <cell r="P387" t="str">
            <v>CAMPANA</v>
          </cell>
        </row>
        <row r="388">
          <cell r="P388" t="str">
            <v>CAMPBELTOWN</v>
          </cell>
        </row>
        <row r="389">
          <cell r="P389" t="str">
            <v>CAMPECHE</v>
          </cell>
        </row>
        <row r="390">
          <cell r="P390" t="str">
            <v>CANAKKALE</v>
          </cell>
        </row>
        <row r="391">
          <cell r="P391" t="str">
            <v>CANAPORT</v>
          </cell>
        </row>
        <row r="392">
          <cell r="P392" t="str">
            <v>CANNES</v>
          </cell>
        </row>
        <row r="393">
          <cell r="P393" t="str">
            <v>CANTON</v>
          </cell>
        </row>
        <row r="394">
          <cell r="P394" t="str">
            <v>CANVEY ISLAND</v>
          </cell>
        </row>
        <row r="395">
          <cell r="P395" t="str">
            <v>CAP LOPEZ</v>
          </cell>
        </row>
        <row r="396">
          <cell r="P396" t="str">
            <v>CAPE COMORIN</v>
          </cell>
        </row>
        <row r="397">
          <cell r="P397" t="str">
            <v>CAPE CUVIER</v>
          </cell>
        </row>
        <row r="398">
          <cell r="P398" t="str">
            <v>CAPE FINISTERRE</v>
          </cell>
        </row>
        <row r="399">
          <cell r="P399" t="str">
            <v>CAPE HORN</v>
          </cell>
        </row>
        <row r="400">
          <cell r="P400" t="str">
            <v>CAPE LEEUWIN</v>
          </cell>
        </row>
        <row r="401">
          <cell r="P401" t="str">
            <v>CAPE OF GOOD HOPE</v>
          </cell>
        </row>
        <row r="402">
          <cell r="P402" t="str">
            <v>CAPE PASSERO, ITALY - SICILY</v>
          </cell>
        </row>
        <row r="403">
          <cell r="P403" t="str">
            <v>CAPE PILAR</v>
          </cell>
        </row>
        <row r="404">
          <cell r="P404" t="str">
            <v>CAPE PRESTON</v>
          </cell>
        </row>
        <row r="405">
          <cell r="P405" t="str">
            <v>CAPE RACE</v>
          </cell>
        </row>
        <row r="406">
          <cell r="P406" t="str">
            <v>CAPE TOWN</v>
          </cell>
        </row>
        <row r="407">
          <cell r="P407" t="str">
            <v>CAPE WRATH</v>
          </cell>
        </row>
        <row r="408">
          <cell r="P408" t="str">
            <v>CAR NICOBAR</v>
          </cell>
        </row>
        <row r="409">
          <cell r="P409" t="str">
            <v>CARACAS BAY</v>
          </cell>
        </row>
        <row r="410">
          <cell r="P410" t="str">
            <v>CARBONERAS</v>
          </cell>
        </row>
        <row r="411">
          <cell r="P411" t="str">
            <v>CARDENAS</v>
          </cell>
        </row>
        <row r="412">
          <cell r="P412" t="str">
            <v>CARDIFF</v>
          </cell>
        </row>
        <row r="413">
          <cell r="P413" t="str">
            <v>CARIPITO</v>
          </cell>
        </row>
        <row r="414">
          <cell r="P414" t="str">
            <v>CARNARVON</v>
          </cell>
        </row>
        <row r="415">
          <cell r="P415" t="str">
            <v>CARONTE</v>
          </cell>
        </row>
        <row r="416">
          <cell r="P416" t="str">
            <v>CARRICKFERGUS</v>
          </cell>
        </row>
        <row r="417">
          <cell r="P417" t="str">
            <v>CARRINGTON</v>
          </cell>
        </row>
        <row r="418">
          <cell r="P418" t="str">
            <v>CARTAGENA</v>
          </cell>
        </row>
        <row r="419">
          <cell r="P419" t="str">
            <v>CARTAGENA - BLACK SEA</v>
          </cell>
        </row>
        <row r="420">
          <cell r="P420" t="str">
            <v>CARTAGENA (COL)</v>
          </cell>
        </row>
        <row r="421">
          <cell r="P421" t="str">
            <v>CARTAGENA (SPA)</v>
          </cell>
        </row>
        <row r="422">
          <cell r="P422" t="str">
            <v>CARTERET</v>
          </cell>
        </row>
        <row r="423">
          <cell r="P423" t="str">
            <v>CARUPANO</v>
          </cell>
        </row>
        <row r="424">
          <cell r="P424" t="str">
            <v>CASABLANCA</v>
          </cell>
        </row>
        <row r="425">
          <cell r="P425" t="str">
            <v>CASILDA</v>
          </cell>
        </row>
        <row r="426">
          <cell r="P426" t="str">
            <v>CASTELLAMMARE</v>
          </cell>
        </row>
        <row r="427">
          <cell r="P427" t="str">
            <v>CASTELLON</v>
          </cell>
        </row>
        <row r="428">
          <cell r="P428" t="str">
            <v>CASTRIES</v>
          </cell>
        </row>
        <row r="429">
          <cell r="P429" t="str">
            <v>CATANIA</v>
          </cell>
        </row>
        <row r="430">
          <cell r="P430" t="str">
            <v>CATIA LA MAR</v>
          </cell>
        </row>
        <row r="431">
          <cell r="P431" t="str">
            <v>CAYENNE</v>
          </cell>
        </row>
        <row r="432">
          <cell r="P432" t="str">
            <v>CAYO ARCAS TERMINAL</v>
          </cell>
        </row>
        <row r="433">
          <cell r="P433" t="str">
            <v>CAYO MOA</v>
          </cell>
        </row>
        <row r="434">
          <cell r="P434" t="str">
            <v>CEBU</v>
          </cell>
        </row>
        <row r="435">
          <cell r="P435" t="str">
            <v>CEDROS ISLAND</v>
          </cell>
        </row>
        <row r="436">
          <cell r="P436" t="str">
            <v>CEIBA HUECA</v>
          </cell>
        </row>
        <row r="437">
          <cell r="P437" t="str">
            <v>CENDOR TERMINAL</v>
          </cell>
        </row>
        <row r="438">
          <cell r="P438" t="str">
            <v>CESME</v>
          </cell>
        </row>
        <row r="439">
          <cell r="P439" t="str">
            <v>CETTE</v>
          </cell>
        </row>
        <row r="440">
          <cell r="P440" t="str">
            <v>CEUTA</v>
          </cell>
        </row>
        <row r="441">
          <cell r="P441" t="str">
            <v>CEYHAN</v>
          </cell>
        </row>
        <row r="442">
          <cell r="P442" t="str">
            <v>CHAGUARAMAS</v>
          </cell>
        </row>
        <row r="443">
          <cell r="P443" t="str">
            <v>CHALKIS</v>
          </cell>
        </row>
        <row r="444">
          <cell r="P444" t="str">
            <v>CHALMETTE</v>
          </cell>
        </row>
        <row r="445">
          <cell r="P445" t="str">
            <v>CHALNA</v>
          </cell>
        </row>
        <row r="446">
          <cell r="P446" t="str">
            <v>CHANARAL</v>
          </cell>
        </row>
        <row r="447">
          <cell r="P447" t="str">
            <v>CHANCAY</v>
          </cell>
        </row>
        <row r="448">
          <cell r="P448" t="str">
            <v>CHANDLER</v>
          </cell>
        </row>
        <row r="449">
          <cell r="P449" t="str">
            <v>CHANGZHOU</v>
          </cell>
        </row>
        <row r="450">
          <cell r="P450" t="str">
            <v>CHANTENAY</v>
          </cell>
        </row>
        <row r="451">
          <cell r="P451" t="str">
            <v>CHARLESTON</v>
          </cell>
        </row>
        <row r="452">
          <cell r="P452" t="str">
            <v>CHARLOTTE</v>
          </cell>
        </row>
        <row r="453">
          <cell r="P453" t="str">
            <v>CHARLOTTETOWN</v>
          </cell>
        </row>
        <row r="454">
          <cell r="P454" t="str">
            <v>CHATHAM (CAN)</v>
          </cell>
        </row>
        <row r="455">
          <cell r="P455" t="str">
            <v>CHATHAM (UKE)</v>
          </cell>
        </row>
        <row r="456">
          <cell r="P456" t="str">
            <v>CHEFOO</v>
          </cell>
        </row>
        <row r="457">
          <cell r="P457" t="str">
            <v>CHEJU</v>
          </cell>
        </row>
        <row r="458">
          <cell r="P458" t="str">
            <v>CHENNAI</v>
          </cell>
        </row>
        <row r="459">
          <cell r="P459" t="str">
            <v>CHERBOURG</v>
          </cell>
        </row>
        <row r="460">
          <cell r="P460" t="str">
            <v>CHERRY POINT</v>
          </cell>
        </row>
        <row r="461">
          <cell r="P461" t="str">
            <v>CHESAPEAKE</v>
          </cell>
        </row>
        <row r="462">
          <cell r="P462" t="str">
            <v>CHIBA</v>
          </cell>
        </row>
        <row r="463">
          <cell r="P463" t="str">
            <v>CHICAGO</v>
          </cell>
        </row>
        <row r="464">
          <cell r="P464" t="str">
            <v>CHICOUTIMI</v>
          </cell>
        </row>
        <row r="465">
          <cell r="P465" t="str">
            <v>CHILUNG</v>
          </cell>
        </row>
        <row r="466">
          <cell r="P466" t="str">
            <v>CHIMBOTE</v>
          </cell>
        </row>
        <row r="467">
          <cell r="P467" t="str">
            <v>CHIMUWAN</v>
          </cell>
        </row>
        <row r="468">
          <cell r="P468" t="str">
            <v>CHINGUETTI FPSO</v>
          </cell>
        </row>
        <row r="469">
          <cell r="P469" t="str">
            <v>CHINHAE</v>
          </cell>
        </row>
        <row r="470">
          <cell r="P470" t="str">
            <v>CHINWANGTAO</v>
          </cell>
        </row>
        <row r="471">
          <cell r="P471" t="str">
            <v>CHIOGGIA</v>
          </cell>
        </row>
        <row r="472">
          <cell r="P472" t="str">
            <v>CHIRIQUI GRANDE</v>
          </cell>
        </row>
        <row r="473">
          <cell r="P473" t="str">
            <v>CHISIMAIO</v>
          </cell>
        </row>
        <row r="474">
          <cell r="P474" t="str">
            <v>CHITTAGONG</v>
          </cell>
        </row>
        <row r="475">
          <cell r="P475" t="str">
            <v>CHIWAN</v>
          </cell>
        </row>
        <row r="476">
          <cell r="P476" t="str">
            <v>CHRISTMAS ISLAND</v>
          </cell>
        </row>
        <row r="477">
          <cell r="P477" t="str">
            <v>CHURCHILL</v>
          </cell>
        </row>
        <row r="478">
          <cell r="P478" t="str">
            <v>CIENFUEGOS</v>
          </cell>
        </row>
        <row r="479">
          <cell r="P479" t="str">
            <v>CIGADING</v>
          </cell>
        </row>
        <row r="480">
          <cell r="P480" t="str">
            <v>CILACAP</v>
          </cell>
        </row>
        <row r="481">
          <cell r="P481" t="str">
            <v>CIREBON</v>
          </cell>
        </row>
        <row r="482">
          <cell r="P482" t="str">
            <v>CIVITAVECCHIA</v>
          </cell>
        </row>
        <row r="483">
          <cell r="P483" t="str">
            <v>CLARENCIA</v>
          </cell>
        </row>
        <row r="484">
          <cell r="P484" t="str">
            <v>CLARENVILLE</v>
          </cell>
        </row>
        <row r="485">
          <cell r="P485" t="str">
            <v>CLARKE CITY</v>
          </cell>
        </row>
        <row r="486">
          <cell r="P486" t="str">
            <v>CLEVELAND</v>
          </cell>
        </row>
        <row r="487">
          <cell r="P487" t="str">
            <v>CLIFFE</v>
          </cell>
        </row>
        <row r="488">
          <cell r="P488" t="str">
            <v>CLINTON</v>
          </cell>
        </row>
        <row r="489">
          <cell r="P489" t="str">
            <v>COATZACOALCOS</v>
          </cell>
        </row>
        <row r="490">
          <cell r="P490" t="str">
            <v>COBH</v>
          </cell>
        </row>
        <row r="491">
          <cell r="P491" t="str">
            <v>COBOURG</v>
          </cell>
        </row>
        <row r="492">
          <cell r="P492" t="str">
            <v>COCANADA</v>
          </cell>
        </row>
        <row r="493">
          <cell r="P493" t="str">
            <v>COCHIN</v>
          </cell>
        </row>
        <row r="494">
          <cell r="P494" t="str">
            <v>COCKENZIE</v>
          </cell>
        </row>
        <row r="495">
          <cell r="P495" t="str">
            <v>COCOS ISLAND</v>
          </cell>
        </row>
        <row r="496">
          <cell r="P496" t="str">
            <v>COLOMBO</v>
          </cell>
        </row>
        <row r="497">
          <cell r="P497" t="str">
            <v>COLON</v>
          </cell>
        </row>
        <row r="498">
          <cell r="P498" t="str">
            <v>COLONCHA</v>
          </cell>
        </row>
        <row r="499">
          <cell r="P499" t="str">
            <v>COME BY CHANCE BAY</v>
          </cell>
        </row>
        <row r="500">
          <cell r="P500" t="str">
            <v>COMEAU BAY</v>
          </cell>
        </row>
        <row r="501">
          <cell r="P501" t="str">
            <v>COMODORO RIVADAVIA</v>
          </cell>
        </row>
        <row r="502">
          <cell r="P502" t="str">
            <v>CONAKRY</v>
          </cell>
        </row>
        <row r="503">
          <cell r="P503" t="str">
            <v>CONCEPCION DEL URUGUAY</v>
          </cell>
        </row>
        <row r="504">
          <cell r="P504" t="str">
            <v>CONCEPTION BAY, CANADA - NEWFOUNDLAND</v>
          </cell>
        </row>
        <row r="505">
          <cell r="P505" t="str">
            <v>CONCHAN</v>
          </cell>
        </row>
        <row r="506">
          <cell r="P506" t="str">
            <v>CONSTANTA</v>
          </cell>
        </row>
        <row r="507">
          <cell r="P507" t="str">
            <v>CONSTANTZA</v>
          </cell>
        </row>
        <row r="508">
          <cell r="P508" t="str">
            <v>CONSTITUCION</v>
          </cell>
        </row>
        <row r="509">
          <cell r="P509" t="str">
            <v>CONVENT</v>
          </cell>
        </row>
        <row r="510">
          <cell r="P510" t="str">
            <v>COOKTOWN</v>
          </cell>
        </row>
        <row r="511">
          <cell r="P511" t="str">
            <v>COOS BAY</v>
          </cell>
        </row>
        <row r="512">
          <cell r="P512" t="str">
            <v>COPENHAGEN</v>
          </cell>
        </row>
        <row r="513">
          <cell r="P513" t="str">
            <v>COQUIMBO</v>
          </cell>
        </row>
        <row r="514">
          <cell r="P514" t="str">
            <v>CORFU</v>
          </cell>
        </row>
        <row r="515">
          <cell r="P515" t="str">
            <v>CORINTH CANAL EAST</v>
          </cell>
        </row>
        <row r="516">
          <cell r="P516" t="str">
            <v>CORINTH CANAL WEST</v>
          </cell>
        </row>
        <row r="517">
          <cell r="P517" t="str">
            <v>CORINTO</v>
          </cell>
        </row>
        <row r="518">
          <cell r="P518" t="str">
            <v>CORK</v>
          </cell>
        </row>
        <row r="519">
          <cell r="P519" t="str">
            <v>CORNER BROOK</v>
          </cell>
        </row>
        <row r="520">
          <cell r="P520" t="str">
            <v>CORNWALL</v>
          </cell>
        </row>
        <row r="521">
          <cell r="P521" t="str">
            <v>CORONEL</v>
          </cell>
        </row>
        <row r="522">
          <cell r="P522" t="str">
            <v>CORPUS CHRISTI</v>
          </cell>
        </row>
        <row r="523">
          <cell r="P523" t="str">
            <v>CORRAL</v>
          </cell>
        </row>
        <row r="524">
          <cell r="P524" t="str">
            <v>CORUNNA</v>
          </cell>
        </row>
        <row r="525">
          <cell r="P525" t="str">
            <v>CORYTON</v>
          </cell>
        </row>
        <row r="526">
          <cell r="P526" t="str">
            <v>COSSACK</v>
          </cell>
        </row>
        <row r="527">
          <cell r="P527" t="str">
            <v>COTONOU</v>
          </cell>
        </row>
        <row r="528">
          <cell r="P528" t="str">
            <v>COVENAS</v>
          </cell>
        </row>
        <row r="529">
          <cell r="P529" t="str">
            <v>COWICHAN BAY</v>
          </cell>
        </row>
        <row r="530">
          <cell r="P530" t="str">
            <v>CRISTOBAL</v>
          </cell>
        </row>
        <row r="531">
          <cell r="P531" t="str">
            <v>CROFTON</v>
          </cell>
        </row>
        <row r="532">
          <cell r="P532" t="str">
            <v>CROMARTY</v>
          </cell>
        </row>
        <row r="533">
          <cell r="P533" t="str">
            <v>CROTONE</v>
          </cell>
        </row>
        <row r="534">
          <cell r="P534" t="str">
            <v>CRUZ GRANDE</v>
          </cell>
        </row>
        <row r="535">
          <cell r="P535" t="str">
            <v>CUDDALORE</v>
          </cell>
        </row>
        <row r="536">
          <cell r="P536" t="str">
            <v>CUMANA</v>
          </cell>
        </row>
        <row r="537">
          <cell r="P537" t="str">
            <v>CUMAREBO</v>
          </cell>
        </row>
        <row r="538">
          <cell r="P538" t="str">
            <v>CURACAO</v>
          </cell>
        </row>
        <row r="539">
          <cell r="P539" t="str">
            <v>CUTUCO</v>
          </cell>
        </row>
        <row r="540">
          <cell r="P540" t="str">
            <v>CUTUCO-LA UNION</v>
          </cell>
        </row>
        <row r="541">
          <cell r="P541" t="str">
            <v>CUXHAVEN</v>
          </cell>
        </row>
        <row r="542">
          <cell r="P542" t="str">
            <v>CYRUS TERMINAL</v>
          </cell>
        </row>
        <row r="543">
          <cell r="P543" t="str">
            <v>DABHOL</v>
          </cell>
        </row>
        <row r="544">
          <cell r="P544" t="str">
            <v>DAESAN</v>
          </cell>
        </row>
        <row r="545">
          <cell r="P545" t="str">
            <v>DAGENHAM</v>
          </cell>
        </row>
        <row r="546">
          <cell r="P546" t="str">
            <v>DAIREN</v>
          </cell>
        </row>
        <row r="547">
          <cell r="P547" t="str">
            <v>DAKAR</v>
          </cell>
        </row>
        <row r="548">
          <cell r="P548" t="str">
            <v>DALHOUSIE</v>
          </cell>
        </row>
        <row r="549">
          <cell r="P549" t="str">
            <v>DALIA TERMINAL</v>
          </cell>
        </row>
        <row r="550">
          <cell r="P550" t="str">
            <v>DALIAN</v>
          </cell>
        </row>
        <row r="551">
          <cell r="P551" t="str">
            <v>DAMIETTA</v>
          </cell>
        </row>
        <row r="552">
          <cell r="P552" t="str">
            <v>DAMMAM</v>
          </cell>
        </row>
        <row r="553">
          <cell r="P553" t="str">
            <v>DAMPIER</v>
          </cell>
        </row>
        <row r="554">
          <cell r="P554" t="str">
            <v>DANANG</v>
          </cell>
        </row>
        <row r="555">
          <cell r="P555" t="str">
            <v>DANTE</v>
          </cell>
        </row>
        <row r="556">
          <cell r="P556" t="str">
            <v>DAR ES SALAAM</v>
          </cell>
        </row>
        <row r="557">
          <cell r="P557" t="str">
            <v>DARDANELLES, TURKEY</v>
          </cell>
        </row>
        <row r="558">
          <cell r="P558" t="str">
            <v>DARLOWO</v>
          </cell>
        </row>
        <row r="559">
          <cell r="P559" t="str">
            <v>DARTMOUTH</v>
          </cell>
        </row>
        <row r="560">
          <cell r="P560" t="str">
            <v>DARTMOUTH (CAN)</v>
          </cell>
        </row>
        <row r="561">
          <cell r="P561" t="str">
            <v>DARWIN</v>
          </cell>
        </row>
        <row r="562">
          <cell r="P562" t="str">
            <v>DAS ISLAND</v>
          </cell>
        </row>
        <row r="563">
          <cell r="P563" t="str">
            <v>DAVANT</v>
          </cell>
        </row>
        <row r="564">
          <cell r="P564" t="str">
            <v>DAVAO</v>
          </cell>
        </row>
        <row r="565">
          <cell r="P565" t="str">
            <v>DECEPTION BAY</v>
          </cell>
        </row>
        <row r="566">
          <cell r="P566" t="str">
            <v>DEGRAD DES CANNES</v>
          </cell>
        </row>
        <row r="567">
          <cell r="P567" t="str">
            <v>DELAWARE CITY</v>
          </cell>
        </row>
        <row r="568">
          <cell r="P568" t="str">
            <v>DELFZIJL</v>
          </cell>
        </row>
        <row r="569">
          <cell r="P569" t="str">
            <v>DELFZYL</v>
          </cell>
        </row>
        <row r="570">
          <cell r="P570" t="str">
            <v>DEN HELDER</v>
          </cell>
        </row>
        <row r="571">
          <cell r="P571" t="str">
            <v>DERBY</v>
          </cell>
        </row>
        <row r="572">
          <cell r="P572" t="str">
            <v>DERINCE</v>
          </cell>
        </row>
        <row r="573">
          <cell r="P573" t="str">
            <v>DERNA</v>
          </cell>
        </row>
        <row r="574">
          <cell r="P574" t="str">
            <v>DESTREHAN</v>
          </cell>
        </row>
        <row r="575">
          <cell r="P575" t="str">
            <v>DETROIT</v>
          </cell>
        </row>
        <row r="576">
          <cell r="P576" t="str">
            <v>DEVONPORT (AUS)</v>
          </cell>
        </row>
        <row r="577">
          <cell r="P577" t="str">
            <v>DEVONPORT (UKE)</v>
          </cell>
        </row>
        <row r="578">
          <cell r="P578" t="str">
            <v>DHEKELIA</v>
          </cell>
        </row>
        <row r="579">
          <cell r="P579" t="str">
            <v>DIAMANTE</v>
          </cell>
        </row>
        <row r="580">
          <cell r="P580" t="str">
            <v>DIEGO GARCIA</v>
          </cell>
        </row>
        <row r="581">
          <cell r="P581" t="str">
            <v>DIEGO SUAREZ</v>
          </cell>
        </row>
        <row r="582">
          <cell r="P582" t="str">
            <v>DIEPPE</v>
          </cell>
        </row>
        <row r="583">
          <cell r="P583" t="str">
            <v>DILISKELESI</v>
          </cell>
        </row>
        <row r="584">
          <cell r="P584" t="str">
            <v>DINGLE</v>
          </cell>
        </row>
        <row r="585">
          <cell r="P585" t="str">
            <v>DJAKARTA</v>
          </cell>
        </row>
        <row r="586">
          <cell r="P586" t="str">
            <v>DJAMBI</v>
          </cell>
        </row>
        <row r="587">
          <cell r="P587" t="str">
            <v>DJENO</v>
          </cell>
        </row>
        <row r="588">
          <cell r="P588" t="str">
            <v>DJIBOUTI</v>
          </cell>
        </row>
        <row r="589">
          <cell r="P589" t="str">
            <v>DOHA</v>
          </cell>
        </row>
        <row r="590">
          <cell r="P590" t="str">
            <v>DOMINICA (ROSEAU)</v>
          </cell>
        </row>
        <row r="591">
          <cell r="P591" t="str">
            <v>DONALDSONVILLE</v>
          </cell>
        </row>
        <row r="592">
          <cell r="P592" t="str">
            <v>DONGES</v>
          </cell>
        </row>
        <row r="593">
          <cell r="P593" t="str">
            <v>DONGHAE, SOUTH KOREA</v>
          </cell>
        </row>
        <row r="594">
          <cell r="P594" t="str">
            <v>DOORNZELLE</v>
          </cell>
        </row>
        <row r="595">
          <cell r="P595" t="str">
            <v>DORDRECHT</v>
          </cell>
        </row>
        <row r="596">
          <cell r="P596" t="str">
            <v>DORTYOL</v>
          </cell>
        </row>
        <row r="597">
          <cell r="P597" t="str">
            <v>DORTYOL TERMINAL</v>
          </cell>
        </row>
        <row r="598">
          <cell r="P598" t="str">
            <v>DOS BOCAS TERMINAL</v>
          </cell>
        </row>
        <row r="599">
          <cell r="P599" t="str">
            <v>DOUALA</v>
          </cell>
        </row>
        <row r="600">
          <cell r="P600" t="str">
            <v>DOUBTFUL SOUND</v>
          </cell>
        </row>
        <row r="601">
          <cell r="P601" t="str">
            <v>DOUGLAS</v>
          </cell>
        </row>
        <row r="602">
          <cell r="P602" t="str">
            <v>DOVER</v>
          </cell>
        </row>
        <row r="603">
          <cell r="P603" t="str">
            <v>DRAMMEN</v>
          </cell>
        </row>
        <row r="604">
          <cell r="P604" t="str">
            <v>DRAPETZONA</v>
          </cell>
        </row>
        <row r="605">
          <cell r="P605" t="str">
            <v>DRIFT RIVER</v>
          </cell>
        </row>
        <row r="606">
          <cell r="P606" t="str">
            <v>DROBAK</v>
          </cell>
        </row>
        <row r="607">
          <cell r="P607" t="str">
            <v>DROGHEDA</v>
          </cell>
        </row>
        <row r="608">
          <cell r="P608" t="str">
            <v>DUALA</v>
          </cell>
        </row>
        <row r="609">
          <cell r="P609" t="str">
            <v>DUBAI</v>
          </cell>
        </row>
        <row r="610">
          <cell r="P610" t="str">
            <v>DUBLIN</v>
          </cell>
        </row>
        <row r="611">
          <cell r="P611" t="str">
            <v>DUBROVNIK</v>
          </cell>
        </row>
        <row r="612">
          <cell r="P612" t="str">
            <v>DUCOS</v>
          </cell>
        </row>
        <row r="613">
          <cell r="P613" t="str">
            <v>DUKE POINT, CANADA - B.COLUMBIA</v>
          </cell>
        </row>
        <row r="614">
          <cell r="P614" t="str">
            <v>DULANG MARINE TERMINAL</v>
          </cell>
        </row>
        <row r="615">
          <cell r="P615" t="str">
            <v>DULUTH</v>
          </cell>
        </row>
        <row r="616">
          <cell r="P616" t="str">
            <v>DUMAI</v>
          </cell>
        </row>
        <row r="617">
          <cell r="P617" t="str">
            <v>DUN LAOGHAIRE</v>
          </cell>
        </row>
        <row r="618">
          <cell r="P618" t="str">
            <v>DUNCAN BAY</v>
          </cell>
        </row>
        <row r="619">
          <cell r="P619" t="str">
            <v>DUNDEE</v>
          </cell>
        </row>
        <row r="620">
          <cell r="P620" t="str">
            <v>DUNDRUM BAY</v>
          </cell>
        </row>
        <row r="621">
          <cell r="P621" t="str">
            <v>DUNEDIN</v>
          </cell>
        </row>
        <row r="622">
          <cell r="P622" t="str">
            <v>DUNGENESS POINT</v>
          </cell>
        </row>
        <row r="623">
          <cell r="P623" t="str">
            <v>DUNKERQUE</v>
          </cell>
        </row>
        <row r="624">
          <cell r="P624" t="str">
            <v>DUNKIRK</v>
          </cell>
        </row>
        <row r="625">
          <cell r="P625" t="str">
            <v>DURAN</v>
          </cell>
        </row>
        <row r="626">
          <cell r="P626" t="str">
            <v>DURBAN</v>
          </cell>
        </row>
        <row r="627">
          <cell r="P627" t="str">
            <v>DURRES</v>
          </cell>
        </row>
        <row r="628">
          <cell r="P628" t="str">
            <v>DUTCH HARBOUR</v>
          </cell>
        </row>
        <row r="629">
          <cell r="P629" t="str">
            <v>DZAOUDZI</v>
          </cell>
        </row>
        <row r="630">
          <cell r="P630" t="str">
            <v>EAGLE POINT</v>
          </cell>
        </row>
        <row r="631">
          <cell r="P631" t="str">
            <v>EAST COVE, FALKLAND ISLANDS</v>
          </cell>
        </row>
        <row r="632">
          <cell r="P632" t="str">
            <v>EAST LONDON</v>
          </cell>
        </row>
        <row r="633">
          <cell r="P633" t="str">
            <v>EASTHAM</v>
          </cell>
        </row>
        <row r="634">
          <cell r="P634" t="str">
            <v>EASTPORT</v>
          </cell>
        </row>
        <row r="635">
          <cell r="P635" t="str">
            <v>EBELTOFT</v>
          </cell>
        </row>
        <row r="636">
          <cell r="P636" t="str">
            <v>EBOME TERMINAL</v>
          </cell>
        </row>
        <row r="637">
          <cell r="P637" t="str">
            <v>ECCLES</v>
          </cell>
        </row>
        <row r="638">
          <cell r="P638" t="str">
            <v>EDEN</v>
          </cell>
        </row>
        <row r="639">
          <cell r="P639" t="str">
            <v>EDINCIK</v>
          </cell>
        </row>
        <row r="640">
          <cell r="P640" t="str">
            <v>EEMSHAVEN</v>
          </cell>
        </row>
        <row r="641">
          <cell r="P641" t="str">
            <v>EGERSUND</v>
          </cell>
        </row>
        <row r="642">
          <cell r="P642" t="str">
            <v>EIDFJORD</v>
          </cell>
        </row>
        <row r="643">
          <cell r="P643" t="str">
            <v>EILAT</v>
          </cell>
        </row>
        <row r="644">
          <cell r="P644" t="str">
            <v>EINSWARDEN</v>
          </cell>
        </row>
        <row r="645">
          <cell r="P645" t="str">
            <v>EKOFISK, NORWAY - NORTH SEA</v>
          </cell>
        </row>
        <row r="646">
          <cell r="P646" t="str">
            <v>EL AKABA</v>
          </cell>
        </row>
        <row r="647">
          <cell r="P647" t="str">
            <v>EL ALAMEIN</v>
          </cell>
        </row>
        <row r="648">
          <cell r="P648" t="str">
            <v>EL BREGA (MARSA)</v>
          </cell>
        </row>
        <row r="649">
          <cell r="P649" t="str">
            <v>EL CAPITAN</v>
          </cell>
        </row>
        <row r="650">
          <cell r="P650" t="str">
            <v>EL DEKHEILA</v>
          </cell>
        </row>
        <row r="651">
          <cell r="P651" t="str">
            <v>EL FERROL</v>
          </cell>
        </row>
        <row r="652">
          <cell r="P652" t="str">
            <v>EL PALITO</v>
          </cell>
        </row>
        <row r="653">
          <cell r="P653" t="str">
            <v>EL SEGUNDO</v>
          </cell>
        </row>
        <row r="654">
          <cell r="P654" t="str">
            <v>EL TABLAZO</v>
          </cell>
        </row>
        <row r="655">
          <cell r="P655" t="str">
            <v>EL TOR</v>
          </cell>
        </row>
        <row r="656">
          <cell r="P656" t="str">
            <v>ELEUSIS</v>
          </cell>
        </row>
        <row r="657">
          <cell r="P657" t="str">
            <v>ELNESVAGEN</v>
          </cell>
        </row>
        <row r="658">
          <cell r="P658" t="str">
            <v>ELSINORE</v>
          </cell>
        </row>
        <row r="659">
          <cell r="P659" t="str">
            <v>EMDEN</v>
          </cell>
        </row>
        <row r="660">
          <cell r="P660" t="str">
            <v>ENSENADA</v>
          </cell>
        </row>
        <row r="661">
          <cell r="P661" t="str">
            <v>ENSTED</v>
          </cell>
        </row>
        <row r="662">
          <cell r="P662" t="str">
            <v>EPISCOPI</v>
          </cell>
        </row>
        <row r="663">
          <cell r="P663" t="str">
            <v>EREGLI</v>
          </cell>
        </row>
        <row r="664">
          <cell r="P664" t="str">
            <v>EREGLISI</v>
          </cell>
        </row>
        <row r="665">
          <cell r="P665" t="str">
            <v>ERHA</v>
          </cell>
        </row>
        <row r="666">
          <cell r="P666" t="str">
            <v>ERIE</v>
          </cell>
        </row>
        <row r="667">
          <cell r="P667" t="str">
            <v>ERITH</v>
          </cell>
        </row>
        <row r="668">
          <cell r="P668" t="str">
            <v>ERTVELDE</v>
          </cell>
        </row>
        <row r="669">
          <cell r="P669" t="str">
            <v>ES SIDER</v>
          </cell>
        </row>
        <row r="670">
          <cell r="P670" t="str">
            <v>ESBJERG</v>
          </cell>
        </row>
        <row r="671">
          <cell r="P671" t="str">
            <v>ESCRAVOS</v>
          </cell>
        </row>
        <row r="672">
          <cell r="P672" t="str">
            <v>ESMERALDAS</v>
          </cell>
        </row>
        <row r="673">
          <cell r="P673" t="str">
            <v>ESPERANCE</v>
          </cell>
        </row>
        <row r="674">
          <cell r="P674" t="str">
            <v>ESSVIK</v>
          </cell>
        </row>
        <row r="675">
          <cell r="P675" t="str">
            <v>ESTERO BAY</v>
          </cell>
        </row>
        <row r="676">
          <cell r="P676" t="str">
            <v>ETAJIMA</v>
          </cell>
        </row>
        <row r="677">
          <cell r="P677" t="str">
            <v>ETAME FPSO</v>
          </cell>
        </row>
        <row r="678">
          <cell r="P678" t="str">
            <v>EUREKA</v>
          </cell>
        </row>
        <row r="679">
          <cell r="P679" t="str">
            <v>EUROPA POINT</v>
          </cell>
        </row>
        <row r="680">
          <cell r="P680" t="str">
            <v>EUROPOORT</v>
          </cell>
        </row>
        <row r="681">
          <cell r="P681" t="str">
            <v>EVERETT (USA-MA)</v>
          </cell>
        </row>
        <row r="682">
          <cell r="P682" t="str">
            <v>EVERETT (USA-WA)</v>
          </cell>
        </row>
        <row r="683">
          <cell r="P683" t="str">
            <v>EVERTON, GUYANA</v>
          </cell>
        </row>
        <row r="684">
          <cell r="P684" t="str">
            <v>EXMOUTH</v>
          </cell>
        </row>
        <row r="685">
          <cell r="P685" t="str">
            <v>FAERINGEHAVN</v>
          </cell>
        </row>
        <row r="686">
          <cell r="P686" t="str">
            <v>FAIR ISLE</v>
          </cell>
        </row>
        <row r="687">
          <cell r="P687" t="str">
            <v>FAIRPORT</v>
          </cell>
        </row>
        <row r="688">
          <cell r="P688" t="str">
            <v>FALCONARA</v>
          </cell>
        </row>
        <row r="689">
          <cell r="P689" t="str">
            <v>FALKENBERG</v>
          </cell>
        </row>
        <row r="690">
          <cell r="P690" t="str">
            <v>FALL RIVER</v>
          </cell>
        </row>
        <row r="691">
          <cell r="P691" t="str">
            <v>FALMOUTH</v>
          </cell>
        </row>
        <row r="692">
          <cell r="P692" t="str">
            <v>FAMAGUSTA</v>
          </cell>
        </row>
        <row r="693">
          <cell r="P693" t="str">
            <v>FANARA</v>
          </cell>
        </row>
        <row r="694">
          <cell r="P694" t="str">
            <v>FANGCHENG</v>
          </cell>
        </row>
        <row r="695">
          <cell r="P695" t="str">
            <v>FAO</v>
          </cell>
        </row>
        <row r="696">
          <cell r="P696" t="str">
            <v>FARGE</v>
          </cell>
        </row>
        <row r="697">
          <cell r="P697" t="str">
            <v>FARO</v>
          </cell>
        </row>
        <row r="698">
          <cell r="P698" t="str">
            <v>FARSUND</v>
          </cell>
        </row>
        <row r="699">
          <cell r="P699" t="str">
            <v>FASLANE</v>
          </cell>
        </row>
        <row r="700">
          <cell r="P700" t="str">
            <v>FASTNET ROCK</v>
          </cell>
        </row>
        <row r="701">
          <cell r="P701" t="str">
            <v>FATEH TERMINAL</v>
          </cell>
        </row>
        <row r="702">
          <cell r="P702" t="str">
            <v>FATHER POINT</v>
          </cell>
        </row>
        <row r="703">
          <cell r="P703" t="str">
            <v>FAWLEY</v>
          </cell>
        </row>
        <row r="704">
          <cell r="P704" t="str">
            <v>FAYID</v>
          </cell>
        </row>
        <row r="705">
          <cell r="P705" t="str">
            <v>FECAMP</v>
          </cell>
        </row>
        <row r="706">
          <cell r="P706" t="str">
            <v>FEDALAH</v>
          </cell>
        </row>
        <row r="707">
          <cell r="P707" t="str">
            <v>FELIXSTOWE</v>
          </cell>
        </row>
        <row r="708">
          <cell r="P708" t="str">
            <v>FERNANDINA</v>
          </cell>
        </row>
        <row r="709">
          <cell r="P709" t="str">
            <v>FERNANDO POO</v>
          </cell>
        </row>
        <row r="710">
          <cell r="P710" t="str">
            <v>FERNDALE</v>
          </cell>
        </row>
        <row r="711">
          <cell r="P711" t="str">
            <v>FERROL</v>
          </cell>
        </row>
        <row r="712">
          <cell r="P712" t="str">
            <v>FETHIYE</v>
          </cell>
        </row>
        <row r="713">
          <cell r="P713" t="str">
            <v>FIGUEIRA DA FOZ</v>
          </cell>
        </row>
        <row r="714">
          <cell r="P714" t="str">
            <v>FINNART</v>
          </cell>
        </row>
        <row r="715">
          <cell r="P715" t="str">
            <v>FINNEID</v>
          </cell>
        </row>
        <row r="716">
          <cell r="P716" t="str">
            <v>FISHGUARD</v>
          </cell>
        </row>
        <row r="717">
          <cell r="P717" t="str">
            <v>FIUMICINO</v>
          </cell>
        </row>
        <row r="718">
          <cell r="P718" t="str">
            <v>FJELLDAL</v>
          </cell>
        </row>
        <row r="719">
          <cell r="P719" t="str">
            <v>FLAXENVIK</v>
          </cell>
        </row>
        <row r="720">
          <cell r="P720" t="str">
            <v>FLEKKEFJORD</v>
          </cell>
        </row>
        <row r="721">
          <cell r="P721" t="str">
            <v>FLENSBURG</v>
          </cell>
        </row>
        <row r="722">
          <cell r="P722" t="str">
            <v>FLORO</v>
          </cell>
        </row>
        <row r="723">
          <cell r="P723" t="str">
            <v>FLOTTA TERMINAL</v>
          </cell>
        </row>
        <row r="724">
          <cell r="P724" t="str">
            <v>FLUMINENSE FPSO</v>
          </cell>
        </row>
        <row r="725">
          <cell r="P725" t="str">
            <v>FLUSHING</v>
          </cell>
        </row>
        <row r="726">
          <cell r="P726" t="str">
            <v>FOLKESTONE</v>
          </cell>
        </row>
        <row r="727">
          <cell r="P727" t="str">
            <v>FOLLONICA</v>
          </cell>
        </row>
        <row r="728">
          <cell r="P728" t="str">
            <v>FOND MOMBIN</v>
          </cell>
        </row>
        <row r="729">
          <cell r="P729" t="str">
            <v>FOOCHOW</v>
          </cell>
        </row>
        <row r="730">
          <cell r="P730" t="str">
            <v>FORCADOS</v>
          </cell>
        </row>
        <row r="731">
          <cell r="P731" t="str">
            <v>FORDE</v>
          </cell>
        </row>
        <row r="732">
          <cell r="P732" t="str">
            <v>FORT CHIMO</v>
          </cell>
        </row>
        <row r="733">
          <cell r="P733" t="str">
            <v>FORT DAUPHIN</v>
          </cell>
        </row>
        <row r="734">
          <cell r="P734" t="str">
            <v>FORT DE FRANCE</v>
          </cell>
        </row>
        <row r="735">
          <cell r="P735" t="str">
            <v>FORT LIBERTE</v>
          </cell>
        </row>
        <row r="736">
          <cell r="P736" t="str">
            <v>FORT PIERCE</v>
          </cell>
        </row>
        <row r="737">
          <cell r="P737" t="str">
            <v>FORTALEZA</v>
          </cell>
        </row>
        <row r="738">
          <cell r="P738" t="str">
            <v>FOS</v>
          </cell>
        </row>
        <row r="739">
          <cell r="P739" t="str">
            <v>FOWEY</v>
          </cell>
        </row>
        <row r="740">
          <cell r="P740" t="str">
            <v>FOYNES</v>
          </cell>
        </row>
        <row r="741">
          <cell r="P741" t="str">
            <v>FPSO ESPIRITO SANTO</v>
          </cell>
        </row>
        <row r="742">
          <cell r="P742" t="str">
            <v>FPSO GIMBOA</v>
          </cell>
        </row>
        <row r="743">
          <cell r="P743" t="str">
            <v>FPSO MARLIM P47</v>
          </cell>
        </row>
        <row r="744">
          <cell r="P744" t="str">
            <v>FRAY BENTOS</v>
          </cell>
        </row>
        <row r="745">
          <cell r="P745" t="str">
            <v>FREDERICIA</v>
          </cell>
        </row>
        <row r="746">
          <cell r="P746" t="str">
            <v>FREDERIKSHAVN</v>
          </cell>
        </row>
        <row r="747">
          <cell r="P747" t="str">
            <v>FREDERIKSTED</v>
          </cell>
        </row>
        <row r="748">
          <cell r="P748" t="str">
            <v>FREDRIK SHAMN</v>
          </cell>
        </row>
        <row r="749">
          <cell r="P749" t="str">
            <v>FREDRIKSTAD</v>
          </cell>
        </row>
        <row r="750">
          <cell r="P750" t="str">
            <v>FREEPORT (BAH)</v>
          </cell>
        </row>
        <row r="751">
          <cell r="P751" t="str">
            <v>FREEPORT (USA)</v>
          </cell>
        </row>
        <row r="752">
          <cell r="P752" t="str">
            <v>FREETOWN</v>
          </cell>
        </row>
        <row r="753">
          <cell r="P753" t="str">
            <v>FREMANTLE</v>
          </cell>
        </row>
        <row r="754">
          <cell r="P754" t="str">
            <v>FROBISHER BAY</v>
          </cell>
        </row>
        <row r="755">
          <cell r="P755" t="str">
            <v>FUJAIRAH</v>
          </cell>
        </row>
        <row r="756">
          <cell r="P756" t="str">
            <v>FUKUOKA</v>
          </cell>
        </row>
        <row r="757">
          <cell r="P757" t="str">
            <v>FUKUYAMA</v>
          </cell>
        </row>
        <row r="758">
          <cell r="P758" t="str">
            <v>FUNAKAWA</v>
          </cell>
        </row>
        <row r="759">
          <cell r="P759" t="str">
            <v>FUNCHAL</v>
          </cell>
        </row>
        <row r="760">
          <cell r="P760" t="str">
            <v>FUSHIKI</v>
          </cell>
        </row>
        <row r="761">
          <cell r="P761" t="str">
            <v>FUTTSU</v>
          </cell>
        </row>
        <row r="762">
          <cell r="P762" t="str">
            <v>FUZHOU</v>
          </cell>
        </row>
        <row r="763">
          <cell r="P763" t="str">
            <v>GABES</v>
          </cell>
        </row>
        <row r="764">
          <cell r="P764" t="str">
            <v>GAETA</v>
          </cell>
        </row>
        <row r="765">
          <cell r="P765" t="str">
            <v>GALATI</v>
          </cell>
        </row>
        <row r="766">
          <cell r="P766" t="str">
            <v>GALATZ</v>
          </cell>
        </row>
        <row r="767">
          <cell r="P767" t="str">
            <v>GALETOA POINT</v>
          </cell>
        </row>
        <row r="768">
          <cell r="P768" t="str">
            <v>GALLE</v>
          </cell>
        </row>
        <row r="769">
          <cell r="P769" t="str">
            <v>GALVESTON</v>
          </cell>
        </row>
        <row r="770">
          <cell r="P770" t="str">
            <v>GALWAY</v>
          </cell>
        </row>
        <row r="771">
          <cell r="P771" t="str">
            <v>GAMBA</v>
          </cell>
        </row>
        <row r="772">
          <cell r="P772" t="str">
            <v>GAMBOA</v>
          </cell>
        </row>
        <row r="773">
          <cell r="P773" t="str">
            <v>GAN ISLAND</v>
          </cell>
        </row>
        <row r="774">
          <cell r="P774" t="str">
            <v>GANDIA</v>
          </cell>
        </row>
        <row r="775">
          <cell r="P775" t="str">
            <v>GARRUCHA</v>
          </cell>
        </row>
        <row r="776">
          <cell r="P776" t="str">
            <v>GARSTON</v>
          </cell>
        </row>
        <row r="777">
          <cell r="P777" t="str">
            <v>GARYVILLE</v>
          </cell>
        </row>
        <row r="778">
          <cell r="P778" t="str">
            <v>GASPE</v>
          </cell>
        </row>
        <row r="779">
          <cell r="P779" t="str">
            <v>GAVLE</v>
          </cell>
        </row>
        <row r="780">
          <cell r="P780" t="str">
            <v>GDANSK</v>
          </cell>
        </row>
        <row r="781">
          <cell r="P781" t="str">
            <v>GDYNIA</v>
          </cell>
        </row>
        <row r="782">
          <cell r="P782" t="str">
            <v>GEBZE</v>
          </cell>
        </row>
        <row r="783">
          <cell r="P783" t="str">
            <v>GEELONG</v>
          </cell>
        </row>
        <row r="784">
          <cell r="P784" t="str">
            <v>GEFLE</v>
          </cell>
        </row>
        <row r="785">
          <cell r="P785" t="str">
            <v>GEIRANGER</v>
          </cell>
        </row>
        <row r="786">
          <cell r="P786" t="str">
            <v>GEISMAR</v>
          </cell>
        </row>
        <row r="787">
          <cell r="P787" t="str">
            <v>GELA</v>
          </cell>
        </row>
        <row r="788">
          <cell r="P788" t="str">
            <v>GEMLIK</v>
          </cell>
        </row>
        <row r="789">
          <cell r="P789" t="str">
            <v>GENERAL SANTOS</v>
          </cell>
        </row>
        <row r="790">
          <cell r="P790" t="str">
            <v>GENOA</v>
          </cell>
        </row>
        <row r="791">
          <cell r="P791" t="str">
            <v>GENT</v>
          </cell>
        </row>
        <row r="792">
          <cell r="P792" t="str">
            <v>GEORGETOWN (CAN)</v>
          </cell>
        </row>
        <row r="793">
          <cell r="P793" t="str">
            <v>GEORGETOWN (CAY)</v>
          </cell>
        </row>
        <row r="794">
          <cell r="P794" t="str">
            <v>GEORGETOWN (GUY)</v>
          </cell>
        </row>
        <row r="795">
          <cell r="P795" t="str">
            <v>GEORGETOWN (USA)</v>
          </cell>
        </row>
        <row r="796">
          <cell r="P796" t="str">
            <v>GERALDTON</v>
          </cell>
        </row>
        <row r="797">
          <cell r="P797" t="str">
            <v>GHAZAOUET</v>
          </cell>
        </row>
        <row r="798">
          <cell r="P798" t="str">
            <v>GHENICHESK</v>
          </cell>
        </row>
        <row r="799">
          <cell r="P799" t="str">
            <v>GHENT</v>
          </cell>
        </row>
        <row r="800">
          <cell r="P800" t="str">
            <v>GIBRALTAR</v>
          </cell>
        </row>
        <row r="801">
          <cell r="P801" t="str">
            <v>GIJON</v>
          </cell>
        </row>
        <row r="802">
          <cell r="P802" t="str">
            <v>GINGOOG</v>
          </cell>
        </row>
        <row r="803">
          <cell r="P803" t="str">
            <v>GIRASSOL TERMINAL</v>
          </cell>
        </row>
        <row r="804">
          <cell r="P804" t="str">
            <v>GIRGENTI</v>
          </cell>
        </row>
        <row r="805">
          <cell r="P805" t="str">
            <v>GISBORNE</v>
          </cell>
        </row>
        <row r="806">
          <cell r="P806" t="str">
            <v>GIZAN</v>
          </cell>
        </row>
        <row r="807">
          <cell r="P807" t="str">
            <v>GLADSTONE</v>
          </cell>
        </row>
        <row r="808">
          <cell r="P808" t="str">
            <v>GLASGOW</v>
          </cell>
        </row>
        <row r="809">
          <cell r="P809" t="str">
            <v>GLOMFJORD</v>
          </cell>
        </row>
        <row r="810">
          <cell r="P810" t="str">
            <v>GOA</v>
          </cell>
        </row>
        <row r="811">
          <cell r="P811" t="str">
            <v>GODTHAAB</v>
          </cell>
        </row>
        <row r="812">
          <cell r="P812" t="str">
            <v>GOI</v>
          </cell>
        </row>
        <row r="813">
          <cell r="P813" t="str">
            <v>GOLCUK</v>
          </cell>
        </row>
        <row r="814">
          <cell r="P814" t="str">
            <v>GOLD RIVER</v>
          </cell>
        </row>
        <row r="815">
          <cell r="P815" t="str">
            <v>GOLFITO</v>
          </cell>
        </row>
        <row r="816">
          <cell r="P816" t="str">
            <v>GONAIVES</v>
          </cell>
        </row>
        <row r="817">
          <cell r="P817" t="str">
            <v>GONFREVILLE</v>
          </cell>
        </row>
        <row r="818">
          <cell r="P818" t="str">
            <v>GOOD HOPE</v>
          </cell>
        </row>
        <row r="819">
          <cell r="P819" t="str">
            <v>GOOD'S ISLAND, AUSTRALIA - QUEENSLAND</v>
          </cell>
        </row>
        <row r="820">
          <cell r="P820" t="str">
            <v>GOOLE</v>
          </cell>
        </row>
        <row r="821">
          <cell r="P821" t="str">
            <v>GOOSE BAY</v>
          </cell>
        </row>
        <row r="822">
          <cell r="P822" t="str">
            <v>GOSPORT</v>
          </cell>
        </row>
        <row r="823">
          <cell r="P823" t="str">
            <v>GOTHENBURG</v>
          </cell>
        </row>
        <row r="824">
          <cell r="P824" t="str">
            <v>GOVE</v>
          </cell>
        </row>
        <row r="825">
          <cell r="P825" t="str">
            <v>GRAMERCY</v>
          </cell>
        </row>
        <row r="826">
          <cell r="P826" t="str">
            <v>GRAND COURONNE</v>
          </cell>
        </row>
        <row r="827">
          <cell r="P827" t="str">
            <v>GRANGEMOUTH</v>
          </cell>
        </row>
        <row r="828">
          <cell r="P828" t="str">
            <v>GRANTON</v>
          </cell>
        </row>
        <row r="829">
          <cell r="P829" t="str">
            <v>GRANVILLE</v>
          </cell>
        </row>
        <row r="830">
          <cell r="P830" t="str">
            <v>GRAVENCHON</v>
          </cell>
        </row>
        <row r="831">
          <cell r="P831" t="str">
            <v>GRAVESEND</v>
          </cell>
        </row>
        <row r="832">
          <cell r="P832" t="str">
            <v>GREAT YARMOUTH</v>
          </cell>
        </row>
        <row r="833">
          <cell r="P833" t="str">
            <v>GREEN BAY</v>
          </cell>
        </row>
        <row r="834">
          <cell r="P834" t="str">
            <v>GREENOCK</v>
          </cell>
        </row>
        <row r="835">
          <cell r="P835" t="str">
            <v>GREENORE</v>
          </cell>
        </row>
        <row r="836">
          <cell r="P836" t="str">
            <v>GREENWICH</v>
          </cell>
        </row>
        <row r="837">
          <cell r="P837" t="str">
            <v>GREIFSWALD</v>
          </cell>
        </row>
        <row r="838">
          <cell r="P838" t="str">
            <v>GREMIKHA</v>
          </cell>
        </row>
        <row r="839">
          <cell r="P839" t="str">
            <v>GRENAA</v>
          </cell>
        </row>
        <row r="840">
          <cell r="P840" t="str">
            <v>GRENADA</v>
          </cell>
        </row>
        <row r="841">
          <cell r="P841" t="str">
            <v>GRESIK</v>
          </cell>
        </row>
        <row r="842">
          <cell r="P842" t="str">
            <v>GRETNA</v>
          </cell>
        </row>
        <row r="843">
          <cell r="P843" t="str">
            <v>GRIFFIN VENTURE</v>
          </cell>
        </row>
        <row r="844">
          <cell r="P844" t="str">
            <v>GRIMSBY</v>
          </cell>
        </row>
        <row r="845">
          <cell r="P845" t="str">
            <v>GRIMSTAD</v>
          </cell>
        </row>
        <row r="846">
          <cell r="P846" t="str">
            <v>GRONNEDAL</v>
          </cell>
        </row>
        <row r="847">
          <cell r="P847" t="str">
            <v>GROOTE EYLADT</v>
          </cell>
        </row>
        <row r="848">
          <cell r="P848" t="str">
            <v>GROOTE EYLANDT</v>
          </cell>
        </row>
        <row r="849">
          <cell r="P849" t="str">
            <v>GROTON</v>
          </cell>
        </row>
        <row r="850">
          <cell r="P850" t="str">
            <v>GUACOLDA</v>
          </cell>
        </row>
        <row r="851">
          <cell r="P851" t="str">
            <v>GUAM</v>
          </cell>
        </row>
        <row r="852">
          <cell r="P852" t="str">
            <v>GUANGZHOU</v>
          </cell>
        </row>
        <row r="853">
          <cell r="P853" t="str">
            <v>GUANICA</v>
          </cell>
        </row>
        <row r="854">
          <cell r="P854" t="str">
            <v>GUANTANAMO BAY</v>
          </cell>
        </row>
        <row r="855">
          <cell r="P855" t="str">
            <v>GUARAGUAO</v>
          </cell>
        </row>
        <row r="856">
          <cell r="P856" t="str">
            <v>GUARANAO BAY</v>
          </cell>
        </row>
        <row r="857">
          <cell r="P857" t="str">
            <v>GUAYACAN</v>
          </cell>
        </row>
        <row r="858">
          <cell r="P858" t="str">
            <v>GUAYAMA</v>
          </cell>
        </row>
        <row r="859">
          <cell r="P859" t="str">
            <v>GUAYANILLA</v>
          </cell>
        </row>
        <row r="860">
          <cell r="P860" t="str">
            <v>GUAYAQUIL</v>
          </cell>
        </row>
        <row r="861">
          <cell r="P861" t="str">
            <v>GUAYMAS</v>
          </cell>
        </row>
        <row r="862">
          <cell r="P862" t="str">
            <v>GUDVANGEN</v>
          </cell>
        </row>
        <row r="863">
          <cell r="P863" t="str">
            <v>GUELDJUK</v>
          </cell>
        </row>
        <row r="864">
          <cell r="P864" t="str">
            <v>GUIRIA</v>
          </cell>
        </row>
        <row r="865">
          <cell r="P865" t="str">
            <v>GULFHAVN</v>
          </cell>
        </row>
        <row r="866">
          <cell r="P866" t="str">
            <v>GULFPORT (USA-MI)</v>
          </cell>
        </row>
        <row r="867">
          <cell r="P867" t="str">
            <v>GULFPORT (USA-NY)</v>
          </cell>
        </row>
        <row r="868">
          <cell r="P868" t="str">
            <v>GULLFAKS, NORWAY - NORTH SEA</v>
          </cell>
        </row>
        <row r="869">
          <cell r="P869" t="str">
            <v>GUNNESS</v>
          </cell>
        </row>
        <row r="870">
          <cell r="P870" t="str">
            <v>GUNSAN</v>
          </cell>
        </row>
        <row r="871">
          <cell r="P871" t="str">
            <v>GWANGYANG, SOUTH KOREA</v>
          </cell>
        </row>
        <row r="872">
          <cell r="P872" t="str">
            <v>HABANA</v>
          </cell>
        </row>
        <row r="873">
          <cell r="P873" t="str">
            <v>HACHINOHE</v>
          </cell>
        </row>
        <row r="874">
          <cell r="P874" t="str">
            <v>HADERSLEV</v>
          </cell>
        </row>
        <row r="875">
          <cell r="P875" t="str">
            <v>HAFNARFJORDUR</v>
          </cell>
        </row>
        <row r="876">
          <cell r="P876" t="str">
            <v>HAIFA</v>
          </cell>
        </row>
        <row r="877">
          <cell r="P877" t="str">
            <v>HAIKOU</v>
          </cell>
        </row>
        <row r="878">
          <cell r="P878" t="str">
            <v>HAIMEN</v>
          </cell>
        </row>
        <row r="879">
          <cell r="P879" t="str">
            <v>HAINES</v>
          </cell>
        </row>
        <row r="880">
          <cell r="P880" t="str">
            <v>HAIPHONG</v>
          </cell>
        </row>
        <row r="881">
          <cell r="P881" t="str">
            <v>HAKATA</v>
          </cell>
        </row>
        <row r="882">
          <cell r="P882" t="str">
            <v>HAKODATE</v>
          </cell>
        </row>
        <row r="883">
          <cell r="P883" t="str">
            <v>HALDEN</v>
          </cell>
        </row>
        <row r="884">
          <cell r="P884" t="str">
            <v>HALDIA</v>
          </cell>
        </row>
        <row r="885">
          <cell r="P885" t="str">
            <v>HALIFAX</v>
          </cell>
        </row>
        <row r="886">
          <cell r="P886" t="str">
            <v>HALLSTAVIK</v>
          </cell>
        </row>
        <row r="887">
          <cell r="P887" t="str">
            <v>HALMSTAD</v>
          </cell>
        </row>
        <row r="888">
          <cell r="P888" t="str">
            <v>HALSA</v>
          </cell>
        </row>
        <row r="889">
          <cell r="P889" t="str">
            <v>HALUL</v>
          </cell>
        </row>
        <row r="890">
          <cell r="P890" t="str">
            <v>HALVORSHAVN</v>
          </cell>
        </row>
        <row r="891">
          <cell r="P891" t="str">
            <v>HAMADA</v>
          </cell>
        </row>
        <row r="892">
          <cell r="P892" t="str">
            <v>HAMBLE</v>
          </cell>
        </row>
        <row r="893">
          <cell r="P893" t="str">
            <v>HAMBURG</v>
          </cell>
        </row>
        <row r="894">
          <cell r="P894" t="str">
            <v>HAMILTON (BER)</v>
          </cell>
        </row>
        <row r="895">
          <cell r="P895" t="str">
            <v>HAMILTON (CAN)</v>
          </cell>
        </row>
        <row r="896">
          <cell r="P896" t="str">
            <v>HAMINA</v>
          </cell>
        </row>
        <row r="897">
          <cell r="P897" t="str">
            <v>HAMMERFALL</v>
          </cell>
        </row>
        <row r="898">
          <cell r="P898" t="str">
            <v>HAMMERFEST</v>
          </cell>
        </row>
        <row r="899">
          <cell r="P899" t="str">
            <v>HAMPTON ROADS</v>
          </cell>
        </row>
        <row r="900">
          <cell r="P900" t="str">
            <v>HAMRIYAH</v>
          </cell>
        </row>
        <row r="901">
          <cell r="P901" t="str">
            <v>HANGO</v>
          </cell>
        </row>
        <row r="902">
          <cell r="P902" t="str">
            <v>HANGZHOU</v>
          </cell>
        </row>
        <row r="903">
          <cell r="P903" t="str">
            <v>HANKO</v>
          </cell>
        </row>
        <row r="904">
          <cell r="P904" t="str">
            <v>HANKOU</v>
          </cell>
        </row>
        <row r="905">
          <cell r="P905" t="str">
            <v>HANSWEERT</v>
          </cell>
        </row>
        <row r="906">
          <cell r="P906" t="str">
            <v>HANTSPORT</v>
          </cell>
        </row>
        <row r="907">
          <cell r="P907" t="str">
            <v>HARAHOLMEN</v>
          </cell>
        </row>
        <row r="908">
          <cell r="P908" t="str">
            <v>HARBOR ISLAND</v>
          </cell>
        </row>
        <row r="909">
          <cell r="P909" t="str">
            <v>HARBOUR GRACE</v>
          </cell>
        </row>
        <row r="910">
          <cell r="P910" t="str">
            <v>HARBURG</v>
          </cell>
        </row>
        <row r="911">
          <cell r="P911" t="str">
            <v>HARNOSAND</v>
          </cell>
        </row>
        <row r="912">
          <cell r="P912" t="str">
            <v>HARSTAD</v>
          </cell>
        </row>
        <row r="913">
          <cell r="P913" t="str">
            <v>HARTLEPOOL</v>
          </cell>
        </row>
        <row r="914">
          <cell r="P914" t="str">
            <v>HARWICH</v>
          </cell>
        </row>
        <row r="915">
          <cell r="P915" t="str">
            <v>HASTINGS</v>
          </cell>
        </row>
        <row r="916">
          <cell r="P916" t="str">
            <v>HASTINGS (AUS)</v>
          </cell>
        </row>
        <row r="917">
          <cell r="P917" t="str">
            <v>HAUGESUND</v>
          </cell>
        </row>
        <row r="918">
          <cell r="P918" t="str">
            <v>HAVANA</v>
          </cell>
        </row>
        <row r="919">
          <cell r="P919" t="str">
            <v>HAVRE</v>
          </cell>
        </row>
        <row r="920">
          <cell r="P920" t="str">
            <v>HAVRE ST. PIERRE</v>
          </cell>
        </row>
        <row r="921">
          <cell r="P921" t="str">
            <v>HAY POINT</v>
          </cell>
        </row>
        <row r="922">
          <cell r="P922" t="str">
            <v>HAYDARPASA</v>
          </cell>
        </row>
        <row r="923">
          <cell r="P923" t="str">
            <v>HAZIRA ANCHORAGE, INDIA</v>
          </cell>
        </row>
        <row r="924">
          <cell r="P924" t="str">
            <v>HEIANZA</v>
          </cell>
        </row>
        <row r="925">
          <cell r="P925" t="str">
            <v>HEIANZA ISLAND</v>
          </cell>
        </row>
        <row r="926">
          <cell r="P926" t="str">
            <v>HELSINGBORG</v>
          </cell>
        </row>
        <row r="927">
          <cell r="P927" t="str">
            <v>HELSINGFORS</v>
          </cell>
        </row>
        <row r="928">
          <cell r="P928" t="str">
            <v>HELSINGOR</v>
          </cell>
        </row>
        <row r="929">
          <cell r="P929" t="str">
            <v>HELSINKI</v>
          </cell>
        </row>
        <row r="930">
          <cell r="P930" t="str">
            <v>HEMIKSEM</v>
          </cell>
        </row>
        <row r="931">
          <cell r="P931" t="str">
            <v>HEMIXEN</v>
          </cell>
        </row>
        <row r="932">
          <cell r="P932" t="str">
            <v>HENJAM</v>
          </cell>
        </row>
        <row r="933">
          <cell r="P933" t="str">
            <v>HERAKLION</v>
          </cell>
        </row>
        <row r="934">
          <cell r="P934" t="str">
            <v>HEREKE</v>
          </cell>
        </row>
        <row r="935">
          <cell r="P935" t="str">
            <v>HERNOSAND</v>
          </cell>
        </row>
        <row r="936">
          <cell r="P936" t="str">
            <v>HEROYA</v>
          </cell>
        </row>
        <row r="937">
          <cell r="P937" t="str">
            <v>HESTVIKA</v>
          </cell>
        </row>
        <row r="938">
          <cell r="P938" t="str">
            <v>HEYSHAM</v>
          </cell>
        </row>
        <row r="939">
          <cell r="P939" t="str">
            <v>HIBI</v>
          </cell>
        </row>
        <row r="940">
          <cell r="P940" t="str">
            <v>HIKARI</v>
          </cell>
        </row>
        <row r="941">
          <cell r="P941" t="str">
            <v>HIKI</v>
          </cell>
        </row>
        <row r="942">
          <cell r="P942" t="str">
            <v>HILO</v>
          </cell>
        </row>
        <row r="943">
          <cell r="P943" t="str">
            <v>HIMEJI</v>
          </cell>
        </row>
        <row r="944">
          <cell r="P944" t="str">
            <v>HIROHATA</v>
          </cell>
        </row>
        <row r="945">
          <cell r="P945" t="str">
            <v>HIROSHIMA</v>
          </cell>
        </row>
        <row r="946">
          <cell r="P946" t="str">
            <v>HITACHI</v>
          </cell>
        </row>
        <row r="947">
          <cell r="P947" t="str">
            <v>HO CHI MINH CITY</v>
          </cell>
        </row>
        <row r="948">
          <cell r="P948" t="str">
            <v>HOBART</v>
          </cell>
        </row>
        <row r="949">
          <cell r="P949" t="str">
            <v>HOBOKEN</v>
          </cell>
        </row>
        <row r="950">
          <cell r="P950" t="str">
            <v>HODEIDAH</v>
          </cell>
        </row>
        <row r="951">
          <cell r="P951" t="str">
            <v>HOGANAS</v>
          </cell>
        </row>
        <row r="952">
          <cell r="P952" t="str">
            <v>HOLBAEK</v>
          </cell>
        </row>
        <row r="953">
          <cell r="P953" t="str">
            <v>HOLLA</v>
          </cell>
        </row>
        <row r="954">
          <cell r="P954" t="str">
            <v>HOLMESTRAND</v>
          </cell>
        </row>
        <row r="955">
          <cell r="P955" t="str">
            <v>HOLMSUND</v>
          </cell>
        </row>
        <row r="956">
          <cell r="P956" t="str">
            <v>HOLSTEINSBORG</v>
          </cell>
        </row>
        <row r="957">
          <cell r="P957" t="str">
            <v>HOLTENAU</v>
          </cell>
        </row>
        <row r="958">
          <cell r="P958" t="str">
            <v>HOLYHEAD</v>
          </cell>
        </row>
        <row r="959">
          <cell r="P959" t="str">
            <v>HOLYROOD</v>
          </cell>
        </row>
        <row r="960">
          <cell r="P960" t="str">
            <v>HOMMELVIK</v>
          </cell>
        </row>
        <row r="961">
          <cell r="P961" t="str">
            <v>HONDAGUA</v>
          </cell>
        </row>
        <row r="962">
          <cell r="P962" t="str">
            <v>HONFLEUR</v>
          </cell>
        </row>
        <row r="963">
          <cell r="P963" t="str">
            <v>HONG KONG</v>
          </cell>
        </row>
        <row r="964">
          <cell r="P964" t="str">
            <v>HONIARA</v>
          </cell>
        </row>
        <row r="965">
          <cell r="P965" t="str">
            <v>HONNINGSVAAG</v>
          </cell>
        </row>
        <row r="966">
          <cell r="P966" t="str">
            <v>HONOLULU</v>
          </cell>
        </row>
        <row r="967">
          <cell r="P967" t="str">
            <v>HOOK OF HOLLAND</v>
          </cell>
        </row>
        <row r="968">
          <cell r="P968" t="str">
            <v>HOPA</v>
          </cell>
        </row>
        <row r="969">
          <cell r="P969" t="str">
            <v>HOPEWELL</v>
          </cell>
        </row>
        <row r="970">
          <cell r="P970" t="str">
            <v>HOQUIAM</v>
          </cell>
        </row>
        <row r="971">
          <cell r="P971" t="str">
            <v>HORMUZ</v>
          </cell>
        </row>
        <row r="972">
          <cell r="P972" t="str">
            <v>HORSENS</v>
          </cell>
        </row>
        <row r="973">
          <cell r="P973" t="str">
            <v>HORTA</v>
          </cell>
        </row>
        <row r="974">
          <cell r="P974" t="str">
            <v>HORTEN</v>
          </cell>
        </row>
        <row r="975">
          <cell r="P975" t="str">
            <v>HOUND POINT</v>
          </cell>
        </row>
        <row r="976">
          <cell r="P976" t="str">
            <v>HOUSTON</v>
          </cell>
        </row>
        <row r="977">
          <cell r="P977" t="str">
            <v>HOVIC</v>
          </cell>
        </row>
        <row r="978">
          <cell r="P978" t="str">
            <v>HOYANGER</v>
          </cell>
        </row>
        <row r="979">
          <cell r="P979" t="str">
            <v>HUALIEN</v>
          </cell>
        </row>
        <row r="980">
          <cell r="P980" t="str">
            <v>HUANG PO</v>
          </cell>
        </row>
        <row r="981">
          <cell r="P981" t="str">
            <v>HUANG PU</v>
          </cell>
        </row>
        <row r="982">
          <cell r="P982" t="str">
            <v>HUANGPU</v>
          </cell>
        </row>
        <row r="983">
          <cell r="P983" t="str">
            <v>HUASCO</v>
          </cell>
        </row>
        <row r="984">
          <cell r="P984" t="str">
            <v>HUDIKSVALL</v>
          </cell>
        </row>
        <row r="985">
          <cell r="P985" t="str">
            <v>HUELVA</v>
          </cell>
        </row>
        <row r="986">
          <cell r="P986" t="str">
            <v>HUIZHOU</v>
          </cell>
        </row>
        <row r="987">
          <cell r="P987" t="str">
            <v>HULL</v>
          </cell>
        </row>
        <row r="988">
          <cell r="P988" t="str">
            <v>HUNGNAM</v>
          </cell>
        </row>
        <row r="989">
          <cell r="P989" t="str">
            <v>HUNTERSTON</v>
          </cell>
        </row>
        <row r="990">
          <cell r="P990" t="str">
            <v>HURGHADA</v>
          </cell>
        </row>
        <row r="991">
          <cell r="P991" t="str">
            <v>HUSNES</v>
          </cell>
        </row>
        <row r="992">
          <cell r="P992" t="str">
            <v>HUSUM</v>
          </cell>
        </row>
        <row r="993">
          <cell r="P993" t="str">
            <v>HVALFJORD</v>
          </cell>
        </row>
        <row r="994">
          <cell r="P994" t="str">
            <v>HVALFJORDUR</v>
          </cell>
        </row>
        <row r="995">
          <cell r="P995" t="str">
            <v>IBICUY</v>
          </cell>
        </row>
        <row r="996">
          <cell r="P996" t="str">
            <v>IDKU LNG TERMINAL</v>
          </cell>
        </row>
        <row r="997">
          <cell r="P997" t="str">
            <v>IGGESUND</v>
          </cell>
        </row>
        <row r="998">
          <cell r="P998" t="str">
            <v>IJMUIDEN</v>
          </cell>
        </row>
        <row r="999">
          <cell r="P999" t="str">
            <v>ILICHEVSK</v>
          </cell>
        </row>
        <row r="1000">
          <cell r="P1000" t="str">
            <v>ILIGAN</v>
          </cell>
        </row>
        <row r="1001">
          <cell r="P1001" t="str">
            <v>ILO</v>
          </cell>
        </row>
        <row r="1002">
          <cell r="P1002" t="str">
            <v>ILOILO</v>
          </cell>
        </row>
        <row r="1003">
          <cell r="P1003" t="str">
            <v>IMABARI</v>
          </cell>
        </row>
        <row r="1004">
          <cell r="P1004" t="str">
            <v>IMAHURU</v>
          </cell>
        </row>
        <row r="1005">
          <cell r="P1005" t="str">
            <v>IMARI</v>
          </cell>
        </row>
        <row r="1006">
          <cell r="P1006" t="str">
            <v>IMBITUBA</v>
          </cell>
        </row>
        <row r="1007">
          <cell r="P1007" t="str">
            <v>IMMINGHAM</v>
          </cell>
        </row>
        <row r="1008">
          <cell r="P1008" t="str">
            <v>INCHEON</v>
          </cell>
        </row>
        <row r="1009">
          <cell r="P1009" t="str">
            <v>INCHEUN</v>
          </cell>
        </row>
        <row r="1010">
          <cell r="P1010" t="str">
            <v>INCHON</v>
          </cell>
        </row>
        <row r="1011">
          <cell r="P1011" t="str">
            <v>INISHTRAHULL</v>
          </cell>
        </row>
        <row r="1012">
          <cell r="P1012" t="str">
            <v>INKOO</v>
          </cell>
        </row>
        <row r="1013">
          <cell r="P1013" t="str">
            <v>INVERGORDON</v>
          </cell>
        </row>
        <row r="1014">
          <cell r="P1014" t="str">
            <v>INVERKEITHING</v>
          </cell>
        </row>
        <row r="1015">
          <cell r="P1015" t="str">
            <v>INVERNESS</v>
          </cell>
        </row>
        <row r="1016">
          <cell r="P1016" t="str">
            <v>IOCO</v>
          </cell>
        </row>
        <row r="1017">
          <cell r="P1017" t="str">
            <v>IPSWICH</v>
          </cell>
        </row>
        <row r="1018">
          <cell r="P1018" t="str">
            <v>IQALUIT</v>
          </cell>
        </row>
        <row r="1019">
          <cell r="P1019" t="str">
            <v>IQUIQUE</v>
          </cell>
        </row>
        <row r="1020">
          <cell r="P1020" t="str">
            <v>IQUITOS</v>
          </cell>
        </row>
        <row r="1021">
          <cell r="P1021" t="str">
            <v>IRAKLION</v>
          </cell>
        </row>
        <row r="1022">
          <cell r="P1022" t="str">
            <v>ISABEL</v>
          </cell>
        </row>
        <row r="1023">
          <cell r="P1023" t="str">
            <v>ISHIGAKI</v>
          </cell>
        </row>
        <row r="1024">
          <cell r="P1024" t="str">
            <v>ISHINOMAKI</v>
          </cell>
        </row>
        <row r="1025">
          <cell r="P1025" t="str">
            <v>ISKENDERUN</v>
          </cell>
        </row>
        <row r="1026">
          <cell r="P1026" t="str">
            <v>ISLE OF GRAIN</v>
          </cell>
        </row>
        <row r="1027">
          <cell r="P1027" t="str">
            <v>ISRANFORS</v>
          </cell>
        </row>
        <row r="1028">
          <cell r="P1028" t="str">
            <v>ISTANBUL</v>
          </cell>
        </row>
        <row r="1029">
          <cell r="P1029" t="str">
            <v>ITAQUI</v>
          </cell>
        </row>
        <row r="1030">
          <cell r="P1030" t="str">
            <v>ITEA</v>
          </cell>
        </row>
        <row r="1031">
          <cell r="P1031" t="str">
            <v>IWAKUNI</v>
          </cell>
        </row>
        <row r="1032">
          <cell r="P1032" t="str">
            <v>IYOMISHIMA</v>
          </cell>
        </row>
        <row r="1033">
          <cell r="P1033" t="str">
            <v>IZMIR</v>
          </cell>
        </row>
        <row r="1034">
          <cell r="P1034" t="str">
            <v>IZMIT</v>
          </cell>
        </row>
        <row r="1035">
          <cell r="P1035" t="str">
            <v>JABIRU</v>
          </cell>
        </row>
        <row r="1036">
          <cell r="P1036" t="str">
            <v>JACKSONVILLE</v>
          </cell>
        </row>
        <row r="1037">
          <cell r="P1037" t="str">
            <v>JACOBSTAD</v>
          </cell>
        </row>
        <row r="1038">
          <cell r="P1038" t="str">
            <v>JAFFA</v>
          </cell>
        </row>
        <row r="1039">
          <cell r="P1039" t="str">
            <v>JAKARTA</v>
          </cell>
        </row>
        <row r="1040">
          <cell r="P1040" t="str">
            <v>JAMBI</v>
          </cell>
        </row>
        <row r="1041">
          <cell r="P1041" t="str">
            <v>JAMNAGAR</v>
          </cell>
        </row>
        <row r="1042">
          <cell r="P1042" t="str">
            <v>JARROW</v>
          </cell>
        </row>
        <row r="1043">
          <cell r="P1043" t="str">
            <v>JASK</v>
          </cell>
        </row>
        <row r="1044">
          <cell r="P1044" t="str">
            <v>JAWAHARLAL NEHRU</v>
          </cell>
        </row>
        <row r="1045">
          <cell r="P1045" t="str">
            <v>JEBEL ALI</v>
          </cell>
        </row>
        <row r="1046">
          <cell r="P1046" t="str">
            <v>JEBEL DHANA</v>
          </cell>
        </row>
        <row r="1047">
          <cell r="P1047" t="str">
            <v>JEDDAH</v>
          </cell>
        </row>
        <row r="1048">
          <cell r="P1048" t="str">
            <v>JESSELTON (KOTAKI)</v>
          </cell>
        </row>
        <row r="1049">
          <cell r="P1049" t="str">
            <v>JIDDA</v>
          </cell>
        </row>
        <row r="1050">
          <cell r="P1050" t="str">
            <v>JIEH</v>
          </cell>
        </row>
        <row r="1051">
          <cell r="P1051" t="str">
            <v>JINHAE</v>
          </cell>
        </row>
        <row r="1052">
          <cell r="P1052" t="str">
            <v>JINZHOU</v>
          </cell>
        </row>
        <row r="1053">
          <cell r="P1053" t="str">
            <v>JOHORE BAHRU</v>
          </cell>
        </row>
        <row r="1054">
          <cell r="P1054" t="str">
            <v>JOLO ISLAND</v>
          </cell>
        </row>
        <row r="1055">
          <cell r="P1055" t="str">
            <v>JORF LASFAR</v>
          </cell>
        </row>
        <row r="1056">
          <cell r="P1056" t="str">
            <v>JOSE IGNACIO TERMINAL</v>
          </cell>
        </row>
        <row r="1057">
          <cell r="P1057" t="str">
            <v>JOSE PANGANIBAN</v>
          </cell>
        </row>
        <row r="1058">
          <cell r="P1058" t="str">
            <v>JOSSINGFJORD, NORWAY</v>
          </cell>
        </row>
        <row r="1059">
          <cell r="P1059" t="str">
            <v>JOVIK, NORWAY</v>
          </cell>
        </row>
        <row r="1060">
          <cell r="P1060" t="str">
            <v>JUAYMAH</v>
          </cell>
        </row>
        <row r="1061">
          <cell r="P1061" t="str">
            <v>JUBAIL</v>
          </cell>
        </row>
        <row r="1062">
          <cell r="P1062" t="str">
            <v>JULIANEHAAB</v>
          </cell>
        </row>
        <row r="1063">
          <cell r="P1063" t="str">
            <v>JUNEAU</v>
          </cell>
        </row>
        <row r="1064">
          <cell r="P1064" t="str">
            <v>JURONG</v>
          </cell>
        </row>
        <row r="1065">
          <cell r="P1065" t="str">
            <v>KAARSTO</v>
          </cell>
        </row>
        <row r="1066">
          <cell r="P1066" t="str">
            <v>KAGOSHIMA</v>
          </cell>
        </row>
        <row r="1067">
          <cell r="P1067" t="str">
            <v>KAHULUI</v>
          </cell>
        </row>
        <row r="1068">
          <cell r="P1068" t="str">
            <v>KAKINADA</v>
          </cell>
        </row>
        <row r="1069">
          <cell r="P1069" t="str">
            <v>KAKOGAWA</v>
          </cell>
        </row>
        <row r="1070">
          <cell r="P1070" t="str">
            <v>KALAMA</v>
          </cell>
        </row>
        <row r="1071">
          <cell r="P1071" t="str">
            <v>KALAMATA</v>
          </cell>
        </row>
        <row r="1072">
          <cell r="P1072" t="str">
            <v>KALIANGET</v>
          </cell>
        </row>
        <row r="1073">
          <cell r="P1073" t="str">
            <v>KALILIMENES</v>
          </cell>
        </row>
        <row r="1074">
          <cell r="P1074" t="str">
            <v>KALININGRAD</v>
          </cell>
        </row>
        <row r="1075">
          <cell r="P1075" t="str">
            <v>KALIX</v>
          </cell>
        </row>
        <row r="1076">
          <cell r="P1076" t="str">
            <v>KALMAR</v>
          </cell>
        </row>
        <row r="1077">
          <cell r="P1077" t="str">
            <v>KALUNDBORG</v>
          </cell>
        </row>
        <row r="1078">
          <cell r="P1078" t="str">
            <v>KAMARAN</v>
          </cell>
        </row>
        <row r="1079">
          <cell r="P1079" t="str">
            <v>KAMBO</v>
          </cell>
        </row>
        <row r="1080">
          <cell r="P1080" t="str">
            <v>KAMSAR</v>
          </cell>
        </row>
        <row r="1081">
          <cell r="P1081" t="str">
            <v>KANDA</v>
          </cell>
        </row>
        <row r="1082">
          <cell r="P1082" t="str">
            <v>KANDALAKSHA</v>
          </cell>
        </row>
        <row r="1083">
          <cell r="P1083" t="str">
            <v>KANDLA</v>
          </cell>
        </row>
        <row r="1084">
          <cell r="P1084" t="str">
            <v>KANOKAWA</v>
          </cell>
        </row>
        <row r="1085">
          <cell r="P1085" t="str">
            <v>KANTVIK</v>
          </cell>
        </row>
        <row r="1086">
          <cell r="P1086" t="str">
            <v>KAOHSIUNG</v>
          </cell>
        </row>
        <row r="1087">
          <cell r="P1087" t="str">
            <v>KARACHI</v>
          </cell>
        </row>
        <row r="1088">
          <cell r="P1088" t="str">
            <v>KARDELJEVO</v>
          </cell>
        </row>
        <row r="1089">
          <cell r="P1089" t="str">
            <v>KARIKAL</v>
          </cell>
        </row>
        <row r="1090">
          <cell r="P1090" t="str">
            <v>KARIMUN</v>
          </cell>
        </row>
        <row r="1091">
          <cell r="P1091" t="str">
            <v>KARLEBY</v>
          </cell>
        </row>
        <row r="1092">
          <cell r="P1092" t="str">
            <v>KARLSBORG</v>
          </cell>
        </row>
        <row r="1093">
          <cell r="P1093" t="str">
            <v>KARLSHAMN</v>
          </cell>
        </row>
        <row r="1094">
          <cell r="P1094" t="str">
            <v>KARLSKRONA</v>
          </cell>
        </row>
        <row r="1095">
          <cell r="P1095" t="str">
            <v>KARLSTAD</v>
          </cell>
        </row>
        <row r="1096">
          <cell r="P1096" t="str">
            <v>KARMOY</v>
          </cell>
        </row>
        <row r="1097">
          <cell r="P1097" t="str">
            <v>KARSKAR</v>
          </cell>
        </row>
        <row r="1098">
          <cell r="P1098" t="str">
            <v>KARSTO</v>
          </cell>
        </row>
        <row r="1099">
          <cell r="P1099" t="str">
            <v>KARTAL</v>
          </cell>
        </row>
        <row r="1100">
          <cell r="P1100" t="str">
            <v>KARWAR</v>
          </cell>
        </row>
        <row r="1101">
          <cell r="P1101" t="str">
            <v>KASAOKA</v>
          </cell>
        </row>
        <row r="1102">
          <cell r="P1102" t="str">
            <v>KASHIMA</v>
          </cell>
        </row>
        <row r="1103">
          <cell r="P1103" t="str">
            <v>KASKO</v>
          </cell>
        </row>
        <row r="1104">
          <cell r="P1104" t="str">
            <v>KASTRUP</v>
          </cell>
        </row>
        <row r="1105">
          <cell r="P1105" t="str">
            <v>KAUPANGER</v>
          </cell>
        </row>
        <row r="1106">
          <cell r="P1106" t="str">
            <v>KAVALLA</v>
          </cell>
        </row>
        <row r="1107">
          <cell r="P1107" t="str">
            <v>KAVIENG</v>
          </cell>
        </row>
        <row r="1108">
          <cell r="P1108" t="str">
            <v>KAVKAZ</v>
          </cell>
        </row>
        <row r="1109">
          <cell r="P1109" t="str">
            <v>KAWAGOE</v>
          </cell>
        </row>
        <row r="1110">
          <cell r="P1110" t="str">
            <v>KAWASAKI</v>
          </cell>
        </row>
        <row r="1111">
          <cell r="P1111" t="str">
            <v>KEELUNG</v>
          </cell>
        </row>
        <row r="1112">
          <cell r="P1112" t="str">
            <v>KEFALLIN</v>
          </cell>
        </row>
        <row r="1113">
          <cell r="P1113" t="str">
            <v>KEFLAVIK</v>
          </cell>
        </row>
        <row r="1114">
          <cell r="P1114" t="str">
            <v>KEMAMAN</v>
          </cell>
        </row>
        <row r="1115">
          <cell r="P1115" t="str">
            <v>KEMI</v>
          </cell>
        </row>
        <row r="1116">
          <cell r="P1116" t="str">
            <v>KENAI</v>
          </cell>
        </row>
        <row r="1117">
          <cell r="P1117" t="str">
            <v>KENITRA</v>
          </cell>
        </row>
        <row r="1118">
          <cell r="P1118" t="str">
            <v>KERCH</v>
          </cell>
        </row>
        <row r="1119">
          <cell r="P1119" t="str">
            <v>KERKIRA</v>
          </cell>
        </row>
        <row r="1120">
          <cell r="P1120" t="str">
            <v>KERTCH</v>
          </cell>
        </row>
        <row r="1121">
          <cell r="P1121" t="str">
            <v>KERTEH TERMINAL</v>
          </cell>
        </row>
        <row r="1122">
          <cell r="P1122" t="str">
            <v>KETAPANG</v>
          </cell>
        </row>
        <row r="1123">
          <cell r="P1123" t="str">
            <v>KEY WEST</v>
          </cell>
        </row>
        <row r="1124">
          <cell r="P1124" t="str">
            <v>KHAFJI (RAS AL)</v>
          </cell>
        </row>
        <row r="1125">
          <cell r="P1125" t="str">
            <v>KHARG ISLAND</v>
          </cell>
        </row>
        <row r="1126">
          <cell r="P1126" t="str">
            <v>KHARK ISLAND</v>
          </cell>
        </row>
        <row r="1127">
          <cell r="P1127" t="str">
            <v>KHERSON</v>
          </cell>
        </row>
        <row r="1128">
          <cell r="P1128" t="str">
            <v>KHOR AL AMAYA</v>
          </cell>
        </row>
        <row r="1129">
          <cell r="P1129" t="str">
            <v>KHOR FAKAN</v>
          </cell>
        </row>
        <row r="1130">
          <cell r="P1130" t="str">
            <v>KIDURONG</v>
          </cell>
        </row>
        <row r="1131">
          <cell r="P1131" t="str">
            <v>KIEL</v>
          </cell>
        </row>
        <row r="1132">
          <cell r="P1132" t="str">
            <v>KIIRE</v>
          </cell>
        </row>
        <row r="1133">
          <cell r="P1133" t="str">
            <v>KIKEH</v>
          </cell>
        </row>
        <row r="1134">
          <cell r="P1134" t="str">
            <v>KIKUMA</v>
          </cell>
        </row>
        <row r="1135">
          <cell r="P1135" t="str">
            <v>KILLINGHOLME</v>
          </cell>
        </row>
        <row r="1136">
          <cell r="P1136" t="str">
            <v>KILROOT</v>
          </cell>
        </row>
        <row r="1137">
          <cell r="P1137" t="str">
            <v>KIMBE</v>
          </cell>
        </row>
        <row r="1138">
          <cell r="P1138" t="str">
            <v>KIMITSU</v>
          </cell>
        </row>
        <row r="1139">
          <cell r="P1139" t="str">
            <v>KIN WAN</v>
          </cell>
        </row>
        <row r="1140">
          <cell r="P1140" t="str">
            <v>KING BAY</v>
          </cell>
        </row>
        <row r="1141">
          <cell r="P1141" t="str">
            <v>KING ISLAND</v>
          </cell>
        </row>
        <row r="1142">
          <cell r="P1142" t="str">
            <v>KING'S LYNN</v>
          </cell>
        </row>
        <row r="1143">
          <cell r="P1143" t="str">
            <v>KINGSNORTH</v>
          </cell>
        </row>
        <row r="1144">
          <cell r="P1144" t="str">
            <v>KINGSTON (CAN)</v>
          </cell>
        </row>
        <row r="1145">
          <cell r="P1145" t="str">
            <v>KINGSTON (JAM)</v>
          </cell>
        </row>
        <row r="1146">
          <cell r="P1146" t="str">
            <v>KINGSTON (USA)</v>
          </cell>
        </row>
        <row r="1147">
          <cell r="P1147" t="str">
            <v>KINGSTOWN</v>
          </cell>
        </row>
        <row r="1148">
          <cell r="P1148" t="str">
            <v>KINSALE</v>
          </cell>
        </row>
        <row r="1149">
          <cell r="P1149" t="str">
            <v>KINUURA</v>
          </cell>
        </row>
        <row r="1150">
          <cell r="P1150" t="str">
            <v>KIRKCALDY</v>
          </cell>
        </row>
        <row r="1151">
          <cell r="P1151" t="str">
            <v>KIRKENES</v>
          </cell>
        </row>
        <row r="1152">
          <cell r="P1152" t="str">
            <v>KIRKWALL</v>
          </cell>
        </row>
        <row r="1153">
          <cell r="P1153" t="str">
            <v>KISARAZU</v>
          </cell>
        </row>
        <row r="1154">
          <cell r="P1154" t="str">
            <v>KISMAYU</v>
          </cell>
        </row>
        <row r="1155">
          <cell r="P1155" t="str">
            <v>KITHIRA ISLAND</v>
          </cell>
        </row>
        <row r="1156">
          <cell r="P1156" t="str">
            <v>KITIMAT</v>
          </cell>
        </row>
        <row r="1157">
          <cell r="P1157" t="str">
            <v>KIZOMBA A TERMINAL</v>
          </cell>
        </row>
        <row r="1158">
          <cell r="P1158" t="str">
            <v>KJOPSVIK</v>
          </cell>
        </row>
        <row r="1159">
          <cell r="P1159" t="str">
            <v>KLAIPEDA</v>
          </cell>
        </row>
        <row r="1160">
          <cell r="P1160" t="str">
            <v>KLAKSVIG</v>
          </cell>
        </row>
        <row r="1161">
          <cell r="P1161" t="str">
            <v>KLAKSVIK</v>
          </cell>
        </row>
        <row r="1162">
          <cell r="P1162" t="str">
            <v>KLINTEHAMN</v>
          </cell>
        </row>
        <row r="1163">
          <cell r="P1163" t="str">
            <v>KO SICHANG</v>
          </cell>
        </row>
        <row r="1164">
          <cell r="P1164" t="str">
            <v>KOBE</v>
          </cell>
        </row>
        <row r="1165">
          <cell r="P1165" t="str">
            <v>KOBENHAVN</v>
          </cell>
        </row>
        <row r="1166">
          <cell r="P1166" t="str">
            <v>KOCHI (INDIA), INDIA</v>
          </cell>
        </row>
        <row r="1167">
          <cell r="P1167" t="str">
            <v>KOCHI, JAPAN - SHIKOKU</v>
          </cell>
        </row>
        <row r="1168">
          <cell r="P1168" t="str">
            <v>KODIAK</v>
          </cell>
        </row>
        <row r="1169">
          <cell r="P1169" t="str">
            <v>KOGE</v>
          </cell>
        </row>
        <row r="1170">
          <cell r="P1170" t="str">
            <v>KOHSICHANG</v>
          </cell>
        </row>
        <row r="1171">
          <cell r="P1171" t="str">
            <v>KOKKILAI, SRI LANKA</v>
          </cell>
        </row>
        <row r="1172">
          <cell r="P1172" t="str">
            <v>KOKKOLA</v>
          </cell>
        </row>
        <row r="1173">
          <cell r="P1173" t="str">
            <v>KOKO</v>
          </cell>
        </row>
        <row r="1174">
          <cell r="P1174" t="str">
            <v>KOKURA</v>
          </cell>
        </row>
        <row r="1175">
          <cell r="P1175" t="str">
            <v>KOLDING</v>
          </cell>
        </row>
        <row r="1176">
          <cell r="P1176" t="str">
            <v>KOLE TERMINAL</v>
          </cell>
        </row>
        <row r="1177">
          <cell r="P1177" t="str">
            <v>KOLKATA, INDIA</v>
          </cell>
        </row>
        <row r="1178">
          <cell r="P1178" t="str">
            <v>KOMPONG SOM</v>
          </cell>
        </row>
        <row r="1179">
          <cell r="P1179" t="str">
            <v>KOPER</v>
          </cell>
        </row>
        <row r="1180">
          <cell r="P1180" t="str">
            <v>KOPERVIK</v>
          </cell>
        </row>
        <row r="1181">
          <cell r="P1181" t="str">
            <v>KOPING</v>
          </cell>
        </row>
        <row r="1182">
          <cell r="P1182" t="str">
            <v>KORSAKOV</v>
          </cell>
        </row>
        <row r="1183">
          <cell r="P1183" t="str">
            <v>KORSOR</v>
          </cell>
        </row>
        <row r="1184">
          <cell r="P1184" t="str">
            <v>KOS</v>
          </cell>
        </row>
        <row r="1185">
          <cell r="P1185" t="str">
            <v>KOSSEIR</v>
          </cell>
        </row>
        <row r="1186">
          <cell r="P1186" t="str">
            <v>KOTA BARU</v>
          </cell>
        </row>
        <row r="1187">
          <cell r="P1187" t="str">
            <v>KOTA BHARO</v>
          </cell>
        </row>
        <row r="1188">
          <cell r="P1188" t="str">
            <v>KOTA KINABALU</v>
          </cell>
        </row>
        <row r="1189">
          <cell r="P1189" t="str">
            <v>KOTKA</v>
          </cell>
        </row>
        <row r="1190">
          <cell r="P1190" t="str">
            <v>KOTOR</v>
          </cell>
        </row>
        <row r="1191">
          <cell r="P1191" t="str">
            <v>KOVERHAR</v>
          </cell>
        </row>
        <row r="1192">
          <cell r="P1192" t="str">
            <v>KOZAKI</v>
          </cell>
        </row>
        <row r="1193">
          <cell r="P1193" t="str">
            <v>KOZHIKODE</v>
          </cell>
        </row>
        <row r="1194">
          <cell r="P1194" t="str">
            <v>KPEME</v>
          </cell>
        </row>
        <row r="1195">
          <cell r="P1195" t="str">
            <v>KRAGERO</v>
          </cell>
        </row>
        <row r="1196">
          <cell r="P1196" t="str">
            <v>KRAMFORS</v>
          </cell>
        </row>
        <row r="1197">
          <cell r="P1197" t="str">
            <v>KRIBI</v>
          </cell>
        </row>
        <row r="1198">
          <cell r="P1198" t="str">
            <v>KRISTIANSAND S.</v>
          </cell>
        </row>
        <row r="1199">
          <cell r="P1199" t="str">
            <v>KRISTIANSUND N.</v>
          </cell>
        </row>
        <row r="1200">
          <cell r="P1200" t="str">
            <v>KRISTINA</v>
          </cell>
        </row>
        <row r="1201">
          <cell r="P1201" t="str">
            <v>KRISTINEHAMN</v>
          </cell>
        </row>
        <row r="1202">
          <cell r="P1202" t="str">
            <v>KRISTINESTAD</v>
          </cell>
        </row>
        <row r="1203">
          <cell r="P1203" t="str">
            <v>KRONSTADT</v>
          </cell>
        </row>
        <row r="1204">
          <cell r="P1204" t="str">
            <v>KROSTRUP</v>
          </cell>
        </row>
        <row r="1205">
          <cell r="P1205" t="str">
            <v>KUALA ENOK</v>
          </cell>
        </row>
        <row r="1206">
          <cell r="P1206" t="str">
            <v>KUANTAN</v>
          </cell>
        </row>
        <row r="1207">
          <cell r="P1207" t="str">
            <v>KUCHING</v>
          </cell>
        </row>
        <row r="1208">
          <cell r="P1208" t="str">
            <v>KUDAMATSU</v>
          </cell>
        </row>
        <row r="1209">
          <cell r="P1209" t="str">
            <v>KUITO TERMINAL</v>
          </cell>
        </row>
        <row r="1210">
          <cell r="P1210" t="str">
            <v>KUMUL MARINE TERMINAL</v>
          </cell>
        </row>
        <row r="1211">
          <cell r="P1211" t="str">
            <v>KUNAK</v>
          </cell>
        </row>
        <row r="1212">
          <cell r="P1212" t="str">
            <v>KUNSAN</v>
          </cell>
        </row>
        <row r="1213">
          <cell r="P1213" t="str">
            <v>KUPANG</v>
          </cell>
        </row>
        <row r="1214">
          <cell r="P1214" t="str">
            <v>KURE</v>
          </cell>
        </row>
        <row r="1215">
          <cell r="P1215" t="str">
            <v>KURIHAMA</v>
          </cell>
        </row>
        <row r="1216">
          <cell r="P1216" t="str">
            <v>KUSHIRO</v>
          </cell>
        </row>
        <row r="1217">
          <cell r="P1217" t="str">
            <v>KUWAIT</v>
          </cell>
        </row>
        <row r="1218">
          <cell r="P1218" t="str">
            <v>KVINESDAL</v>
          </cell>
        </row>
        <row r="1219">
          <cell r="P1219" t="str">
            <v>KWINANA</v>
          </cell>
        </row>
        <row r="1220">
          <cell r="P1220" t="str">
            <v>KYNDBY</v>
          </cell>
        </row>
        <row r="1221">
          <cell r="P1221" t="str">
            <v>LA CEIBA</v>
          </cell>
        </row>
        <row r="1222">
          <cell r="P1222" t="str">
            <v>LA CIOTAT</v>
          </cell>
        </row>
        <row r="1223">
          <cell r="P1223" t="str">
            <v>LA CORUNA</v>
          </cell>
        </row>
        <row r="1224">
          <cell r="P1224" t="str">
            <v>LA ESTACADA</v>
          </cell>
        </row>
        <row r="1225">
          <cell r="P1225" t="str">
            <v>LA GOULETTE</v>
          </cell>
        </row>
        <row r="1226">
          <cell r="P1226" t="str">
            <v>LA GOULETTE NORD</v>
          </cell>
        </row>
        <row r="1227">
          <cell r="P1227" t="str">
            <v>LA GUAIRA</v>
          </cell>
        </row>
        <row r="1228">
          <cell r="P1228" t="str">
            <v>LA LIBERTAD</v>
          </cell>
        </row>
        <row r="1229">
          <cell r="P1229" t="str">
            <v>LA MADDALENA</v>
          </cell>
        </row>
        <row r="1230">
          <cell r="P1230" t="str">
            <v>LA NOUVELLE</v>
          </cell>
        </row>
        <row r="1231">
          <cell r="P1231" t="str">
            <v>LA PALLICE</v>
          </cell>
        </row>
        <row r="1232">
          <cell r="P1232" t="str">
            <v>LA PALOMA</v>
          </cell>
        </row>
        <row r="1233">
          <cell r="P1233" t="str">
            <v>LA PAMPILLA</v>
          </cell>
        </row>
        <row r="1234">
          <cell r="P1234" t="str">
            <v>LA PAZ</v>
          </cell>
        </row>
        <row r="1235">
          <cell r="P1235" t="str">
            <v>LA PLANCHARDA</v>
          </cell>
        </row>
        <row r="1236">
          <cell r="P1236" t="str">
            <v>LA PLATA</v>
          </cell>
        </row>
        <row r="1237">
          <cell r="P1237" t="str">
            <v>LA ROCHELLE</v>
          </cell>
        </row>
        <row r="1238">
          <cell r="P1238" t="str">
            <v>LA ROMANA</v>
          </cell>
        </row>
        <row r="1239">
          <cell r="P1239" t="str">
            <v>LA SALINAS</v>
          </cell>
        </row>
        <row r="1240">
          <cell r="P1240" t="str">
            <v>LA SALINETA</v>
          </cell>
        </row>
        <row r="1241">
          <cell r="P1241" t="str">
            <v>LA SKHIRRA</v>
          </cell>
        </row>
        <row r="1242">
          <cell r="P1242" t="str">
            <v>LA SPEZIA</v>
          </cell>
        </row>
        <row r="1243">
          <cell r="P1243" t="str">
            <v>LA UNION</v>
          </cell>
        </row>
        <row r="1244">
          <cell r="P1244" t="str">
            <v>LAAYOUNE, WESTERN SAHARA</v>
          </cell>
        </row>
        <row r="1245">
          <cell r="P1245" t="str">
            <v>LABUAN</v>
          </cell>
        </row>
        <row r="1246">
          <cell r="P1246" t="str">
            <v>LABUAN HADGI</v>
          </cell>
        </row>
        <row r="1247">
          <cell r="P1247" t="str">
            <v>LAE</v>
          </cell>
        </row>
        <row r="1248">
          <cell r="P1248" t="str">
            <v>LAE MOROBE</v>
          </cell>
        </row>
        <row r="1249">
          <cell r="P1249" t="str">
            <v>LAEM CHABANG</v>
          </cell>
        </row>
        <row r="1250">
          <cell r="P1250" t="str">
            <v>LAGOS</v>
          </cell>
        </row>
        <row r="1251">
          <cell r="P1251" t="str">
            <v>LAHAD DATU</v>
          </cell>
        </row>
        <row r="1252">
          <cell r="P1252" t="str">
            <v>LAJES</v>
          </cell>
        </row>
        <row r="1253">
          <cell r="P1253" t="str">
            <v>LAKE CHARLES</v>
          </cell>
        </row>
        <row r="1254">
          <cell r="P1254" t="str">
            <v>LAMA</v>
          </cell>
        </row>
        <row r="1255">
          <cell r="P1255" t="str">
            <v>LAMLASH</v>
          </cell>
        </row>
        <row r="1256">
          <cell r="P1256" t="str">
            <v>LAND'S END</v>
          </cell>
        </row>
        <row r="1257">
          <cell r="P1257" t="str">
            <v>LANDSKRONA</v>
          </cell>
        </row>
        <row r="1258">
          <cell r="P1258" t="str">
            <v>LANGESUND</v>
          </cell>
        </row>
        <row r="1259">
          <cell r="P1259" t="str">
            <v>LANSHAN</v>
          </cell>
        </row>
        <row r="1260">
          <cell r="P1260" t="str">
            <v>LARKOLLEN</v>
          </cell>
        </row>
        <row r="1261">
          <cell r="P1261" t="str">
            <v>LARNACA</v>
          </cell>
        </row>
        <row r="1262">
          <cell r="P1262" t="str">
            <v>LARNE</v>
          </cell>
        </row>
        <row r="1263">
          <cell r="P1263" t="str">
            <v>LARVIK</v>
          </cell>
        </row>
        <row r="1264">
          <cell r="P1264" t="str">
            <v>LAS MAREAS</v>
          </cell>
        </row>
        <row r="1265">
          <cell r="P1265" t="str">
            <v>LAS MINAS</v>
          </cell>
        </row>
        <row r="1266">
          <cell r="P1266" t="str">
            <v>LAS MINAS BAY</v>
          </cell>
        </row>
        <row r="1267">
          <cell r="P1267" t="str">
            <v>LAS PALMAS</v>
          </cell>
        </row>
        <row r="1268">
          <cell r="P1268" t="str">
            <v>LAS PIEDRAS</v>
          </cell>
        </row>
        <row r="1269">
          <cell r="P1269" t="str">
            <v>LAS SALINAS, CHILE</v>
          </cell>
        </row>
        <row r="1270">
          <cell r="P1270" t="str">
            <v>LATAKIA</v>
          </cell>
        </row>
        <row r="1271">
          <cell r="P1271" t="str">
            <v>LATTAKIA</v>
          </cell>
        </row>
        <row r="1272">
          <cell r="P1272" t="str">
            <v>LAUNCESTON</v>
          </cell>
        </row>
        <row r="1273">
          <cell r="P1273" t="str">
            <v>LAVAN ISLAND</v>
          </cell>
        </row>
        <row r="1274">
          <cell r="P1274" t="str">
            <v>LAVERA</v>
          </cell>
        </row>
        <row r="1275">
          <cell r="P1275" t="str">
            <v>LAZARO CARDENAS</v>
          </cell>
        </row>
        <row r="1276">
          <cell r="P1276" t="str">
            <v>LE ESPIGUETTE</v>
          </cell>
        </row>
        <row r="1277">
          <cell r="P1277" t="str">
            <v>LE HAVRE</v>
          </cell>
        </row>
        <row r="1278">
          <cell r="P1278" t="str">
            <v>LE TRAIT, FRANCE</v>
          </cell>
        </row>
        <row r="1279">
          <cell r="P1279" t="str">
            <v>LE VERDON</v>
          </cell>
        </row>
        <row r="1280">
          <cell r="P1280" t="str">
            <v>LEAMINGTON</v>
          </cell>
        </row>
        <row r="1281">
          <cell r="P1281" t="str">
            <v>LEGENDRE MARINE TERMINAL</v>
          </cell>
        </row>
        <row r="1282">
          <cell r="P1282" t="str">
            <v>LEGHORN</v>
          </cell>
        </row>
        <row r="1283">
          <cell r="P1283" t="str">
            <v>LEIRVIK</v>
          </cell>
        </row>
        <row r="1284">
          <cell r="P1284" t="str">
            <v>LEITH</v>
          </cell>
        </row>
        <row r="1285">
          <cell r="P1285" t="str">
            <v>LEIXOES</v>
          </cell>
        </row>
        <row r="1286">
          <cell r="P1286" t="str">
            <v>LEMBAR, INDONESIA - JAWA</v>
          </cell>
        </row>
        <row r="1287">
          <cell r="P1287" t="str">
            <v>LENINGRAD</v>
          </cell>
        </row>
        <row r="1288">
          <cell r="P1288" t="str">
            <v>LERWICK</v>
          </cell>
        </row>
        <row r="1289">
          <cell r="P1289" t="str">
            <v>LES CAYES</v>
          </cell>
        </row>
        <row r="1290">
          <cell r="P1290" t="str">
            <v>LEVANGER</v>
          </cell>
        </row>
        <row r="1291">
          <cell r="P1291" t="str">
            <v>LEWISPORTE</v>
          </cell>
        </row>
        <row r="1292">
          <cell r="P1292" t="str">
            <v>LHOKSEUMAWE</v>
          </cell>
        </row>
        <row r="1293">
          <cell r="P1293" t="str">
            <v>LIANYUNGANG</v>
          </cell>
        </row>
        <row r="1294">
          <cell r="P1294" t="str">
            <v>LIBERDADE FSO</v>
          </cell>
        </row>
        <row r="1295">
          <cell r="P1295" t="str">
            <v>LIBREVILLE</v>
          </cell>
        </row>
        <row r="1296">
          <cell r="P1296" t="str">
            <v>LIDKOPING</v>
          </cell>
        </row>
        <row r="1297">
          <cell r="P1297" t="str">
            <v>LIEPAJA</v>
          </cell>
        </row>
        <row r="1298">
          <cell r="P1298" t="str">
            <v>LILLESAND</v>
          </cell>
        </row>
        <row r="1299">
          <cell r="P1299" t="str">
            <v>LIMASSOL</v>
          </cell>
        </row>
        <row r="1300">
          <cell r="P1300" t="str">
            <v>LIMBE</v>
          </cell>
        </row>
        <row r="1301">
          <cell r="P1301" t="str">
            <v>LIMERICK</v>
          </cell>
        </row>
        <row r="1302">
          <cell r="P1302" t="str">
            <v>LIMETREE BAY</v>
          </cell>
        </row>
        <row r="1303">
          <cell r="P1303" t="str">
            <v>LIMHAMN</v>
          </cell>
        </row>
        <row r="1304">
          <cell r="P1304" t="str">
            <v>LIMON PUERTO</v>
          </cell>
        </row>
        <row r="1305">
          <cell r="P1305" t="str">
            <v>LINDEN</v>
          </cell>
        </row>
        <row r="1306">
          <cell r="P1306" t="str">
            <v>LINDESNES</v>
          </cell>
        </row>
        <row r="1307">
          <cell r="P1307" t="str">
            <v>LIRQUEN</v>
          </cell>
        </row>
        <row r="1308">
          <cell r="P1308" t="str">
            <v>LISBOA</v>
          </cell>
        </row>
        <row r="1309">
          <cell r="P1309" t="str">
            <v>LISBON</v>
          </cell>
        </row>
        <row r="1310">
          <cell r="P1310" t="str">
            <v>LITH</v>
          </cell>
        </row>
        <row r="1311">
          <cell r="P1311" t="str">
            <v>LITTLEBROOK</v>
          </cell>
        </row>
        <row r="1312">
          <cell r="P1312" t="str">
            <v>LIVERPOOL (CAN)</v>
          </cell>
        </row>
        <row r="1313">
          <cell r="P1313" t="str">
            <v>LIVERPOOL (UKE)</v>
          </cell>
        </row>
        <row r="1314">
          <cell r="P1314" t="str">
            <v>LIVORNO</v>
          </cell>
        </row>
        <row r="1315">
          <cell r="P1315" t="str">
            <v>LOBITO</v>
          </cell>
        </row>
        <row r="1316">
          <cell r="P1316" t="str">
            <v>LOBITOS</v>
          </cell>
        </row>
        <row r="1317">
          <cell r="P1317" t="str">
            <v>LOCH EWE</v>
          </cell>
        </row>
        <row r="1318">
          <cell r="P1318" t="str">
            <v>LOCH STRIVEN</v>
          </cell>
        </row>
        <row r="1319">
          <cell r="P1319" t="str">
            <v>LODINGEN</v>
          </cell>
        </row>
        <row r="1320">
          <cell r="P1320" t="str">
            <v>LOHEIYA</v>
          </cell>
        </row>
        <row r="1321">
          <cell r="P1321" t="str">
            <v>LOKANKA</v>
          </cell>
        </row>
        <row r="1322">
          <cell r="P1322" t="str">
            <v>LOMBOK STRAIT</v>
          </cell>
        </row>
        <row r="1323">
          <cell r="P1323" t="str">
            <v>LOME</v>
          </cell>
        </row>
        <row r="1324">
          <cell r="P1324" t="str">
            <v>LONCURA</v>
          </cell>
        </row>
        <row r="1325">
          <cell r="P1325" t="str">
            <v>LONDON</v>
          </cell>
        </row>
        <row r="1326">
          <cell r="P1326" t="str">
            <v>LONDONDERRY</v>
          </cell>
        </row>
        <row r="1327">
          <cell r="P1327" t="str">
            <v>LONG BEACH</v>
          </cell>
        </row>
        <row r="1328">
          <cell r="P1328" t="str">
            <v>LONG HARBOUR</v>
          </cell>
        </row>
        <row r="1329">
          <cell r="P1329" t="str">
            <v>LONGKOU</v>
          </cell>
        </row>
        <row r="1330">
          <cell r="P1330" t="str">
            <v>LONGSHIPS</v>
          </cell>
        </row>
        <row r="1331">
          <cell r="P1331" t="str">
            <v>LONGVIEW</v>
          </cell>
        </row>
        <row r="1332">
          <cell r="P1332" t="str">
            <v>LONGYEARBYEN</v>
          </cell>
        </row>
        <row r="1333">
          <cell r="P1333" t="str">
            <v>LOOP</v>
          </cell>
        </row>
        <row r="1334">
          <cell r="P1334" t="str">
            <v>LOPRA</v>
          </cell>
        </row>
        <row r="1335">
          <cell r="P1335" t="str">
            <v>LORAIN</v>
          </cell>
        </row>
        <row r="1336">
          <cell r="P1336" t="str">
            <v>LORIENT</v>
          </cell>
        </row>
        <row r="1337">
          <cell r="P1337" t="str">
            <v>LOS ANGELES</v>
          </cell>
        </row>
        <row r="1338">
          <cell r="P1338" t="str">
            <v>LOS ORGANOS</v>
          </cell>
        </row>
        <row r="1339">
          <cell r="P1339" t="str">
            <v>LOS VILOS</v>
          </cell>
        </row>
        <row r="1340">
          <cell r="P1340" t="str">
            <v>LOTA</v>
          </cell>
        </row>
        <row r="1341">
          <cell r="P1341" t="str">
            <v>LOUGH SWILLY</v>
          </cell>
        </row>
        <row r="1342">
          <cell r="P1342" t="str">
            <v>LOURENCO MARQUES</v>
          </cell>
        </row>
        <row r="1343">
          <cell r="P1343" t="str">
            <v>LOVIISA</v>
          </cell>
        </row>
        <row r="1344">
          <cell r="P1344" t="str">
            <v>LOWESTOFT</v>
          </cell>
        </row>
        <row r="1345">
          <cell r="P1345" t="str">
            <v>LU SHUN</v>
          </cell>
        </row>
        <row r="1346">
          <cell r="P1346" t="str">
            <v>LUANDA</v>
          </cell>
        </row>
        <row r="1347">
          <cell r="P1347" t="str">
            <v>LUBECK</v>
          </cell>
        </row>
        <row r="1348">
          <cell r="P1348" t="str">
            <v>LUCINA TERMINAL</v>
          </cell>
        </row>
        <row r="1349">
          <cell r="P1349" t="str">
            <v>LUDINGTON</v>
          </cell>
        </row>
        <row r="1350">
          <cell r="P1350" t="str">
            <v>LUHAIYA</v>
          </cell>
        </row>
        <row r="1351">
          <cell r="P1351" t="str">
            <v>LULEA</v>
          </cell>
        </row>
        <row r="1352">
          <cell r="P1352" t="str">
            <v>LUMUT</v>
          </cell>
        </row>
        <row r="1353">
          <cell r="P1353" t="str">
            <v>LYNESS</v>
          </cell>
        </row>
        <row r="1354">
          <cell r="P1354" t="str">
            <v>LYSAKER</v>
          </cell>
        </row>
        <row r="1355">
          <cell r="P1355" t="str">
            <v>LYSEKIL</v>
          </cell>
        </row>
        <row r="1356">
          <cell r="P1356" t="str">
            <v>LYTTELTON</v>
          </cell>
        </row>
        <row r="1357">
          <cell r="P1357" t="str">
            <v>MAALOY</v>
          </cell>
        </row>
        <row r="1358">
          <cell r="P1358" t="str">
            <v>MACAPA</v>
          </cell>
        </row>
        <row r="1359">
          <cell r="P1359" t="str">
            <v>MACASSAR</v>
          </cell>
        </row>
        <row r="1360">
          <cell r="P1360" t="str">
            <v>MACEIO</v>
          </cell>
        </row>
        <row r="1361">
          <cell r="P1361" t="str">
            <v>MACKAY</v>
          </cell>
        </row>
        <row r="1362">
          <cell r="P1362" t="str">
            <v>MACORIS</v>
          </cell>
        </row>
        <row r="1363">
          <cell r="P1363" t="str">
            <v>MADANG</v>
          </cell>
        </row>
        <row r="1364">
          <cell r="P1364" t="str">
            <v>MADDALENA</v>
          </cell>
        </row>
        <row r="1365">
          <cell r="P1365" t="str">
            <v>MADEIRA</v>
          </cell>
        </row>
        <row r="1366">
          <cell r="P1366" t="str">
            <v>MADRAS</v>
          </cell>
        </row>
        <row r="1367">
          <cell r="P1367" t="str">
            <v>MADRE DE DEUS</v>
          </cell>
        </row>
        <row r="1368">
          <cell r="P1368" t="str">
            <v>MAGDALLA</v>
          </cell>
        </row>
        <row r="1369">
          <cell r="P1369" t="str">
            <v>MAGNISI</v>
          </cell>
        </row>
        <row r="1370">
          <cell r="P1370" t="str">
            <v>MAHAJANGA</v>
          </cell>
        </row>
        <row r="1371">
          <cell r="P1371" t="str">
            <v>MAHON</v>
          </cell>
        </row>
        <row r="1372">
          <cell r="P1372" t="str">
            <v>MAI LIAO</v>
          </cell>
        </row>
        <row r="1373">
          <cell r="P1373" t="str">
            <v>MAITLAND (PORT)</v>
          </cell>
        </row>
        <row r="1374">
          <cell r="P1374" t="str">
            <v>MAITLAND HARBOUR</v>
          </cell>
        </row>
        <row r="1375">
          <cell r="P1375" t="str">
            <v>MAJUNGA</v>
          </cell>
        </row>
        <row r="1376">
          <cell r="P1376" t="str">
            <v>MAKASSAR</v>
          </cell>
        </row>
        <row r="1377">
          <cell r="P1377" t="str">
            <v>MAKRAM, SAUDI ARABIA</v>
          </cell>
        </row>
        <row r="1378">
          <cell r="P1378" t="str">
            <v>MALABO</v>
          </cell>
        </row>
        <row r="1379">
          <cell r="P1379" t="str">
            <v>MALACCA</v>
          </cell>
        </row>
        <row r="1380">
          <cell r="P1380" t="str">
            <v>MALAGA</v>
          </cell>
        </row>
        <row r="1381">
          <cell r="P1381" t="str">
            <v>MALAMPAYA TERMINAL</v>
          </cell>
        </row>
        <row r="1382">
          <cell r="P1382" t="str">
            <v>MALILI</v>
          </cell>
        </row>
        <row r="1383">
          <cell r="P1383" t="str">
            <v>MALMO</v>
          </cell>
        </row>
        <row r="1384">
          <cell r="P1384" t="str">
            <v>MALONGO</v>
          </cell>
        </row>
        <row r="1385">
          <cell r="P1385" t="str">
            <v>MALTA (STS)</v>
          </cell>
        </row>
        <row r="1386">
          <cell r="P1386" t="str">
            <v>MALTA(GRAND HARBOUR)</v>
          </cell>
        </row>
        <row r="1387">
          <cell r="P1387" t="str">
            <v>MAMONAL</v>
          </cell>
        </row>
        <row r="1388">
          <cell r="P1388" t="str">
            <v>MANADO</v>
          </cell>
        </row>
        <row r="1389">
          <cell r="P1389" t="str">
            <v>MANAKARA</v>
          </cell>
        </row>
        <row r="1390">
          <cell r="P1390" t="str">
            <v>MANANJARY</v>
          </cell>
        </row>
        <row r="1391">
          <cell r="P1391" t="str">
            <v>MANAUS</v>
          </cell>
        </row>
        <row r="1392">
          <cell r="P1392" t="str">
            <v>MANCHESTER</v>
          </cell>
        </row>
        <row r="1393">
          <cell r="P1393" t="str">
            <v>MANDAL</v>
          </cell>
        </row>
        <row r="1394">
          <cell r="P1394" t="str">
            <v>MANFREDONIA</v>
          </cell>
        </row>
        <row r="1395">
          <cell r="P1395" t="str">
            <v>MANGALORE (NEW)</v>
          </cell>
        </row>
        <row r="1396">
          <cell r="P1396" t="str">
            <v>MANGGAR</v>
          </cell>
        </row>
        <row r="1397">
          <cell r="P1397" t="str">
            <v>MANILA</v>
          </cell>
        </row>
        <row r="1398">
          <cell r="P1398" t="str">
            <v>MANTA</v>
          </cell>
        </row>
        <row r="1399">
          <cell r="P1399" t="str">
            <v>MANTYLUOTO</v>
          </cell>
        </row>
        <row r="1400">
          <cell r="P1400" t="str">
            <v>MANZANILLO (CUB)</v>
          </cell>
        </row>
        <row r="1401">
          <cell r="P1401" t="str">
            <v>MANZANILLO (DOM)</v>
          </cell>
        </row>
        <row r="1402">
          <cell r="P1402" t="str">
            <v>MANZANILLO (MEX)</v>
          </cell>
        </row>
        <row r="1403">
          <cell r="P1403" t="str">
            <v>MAP TA PHUT</v>
          </cell>
        </row>
        <row r="1404">
          <cell r="P1404" t="str">
            <v>MAPUTO</v>
          </cell>
        </row>
        <row r="1405">
          <cell r="P1405" t="str">
            <v>MARACAIBO</v>
          </cell>
        </row>
        <row r="1406">
          <cell r="P1406" t="str">
            <v>MARATHON</v>
          </cell>
        </row>
        <row r="1407">
          <cell r="P1407" t="str">
            <v>MARCUS HOOK</v>
          </cell>
        </row>
        <row r="1408">
          <cell r="P1408" t="str">
            <v>MARIEHAMN</v>
          </cell>
        </row>
        <row r="1409">
          <cell r="P1409" t="str">
            <v>MARIEL</v>
          </cell>
        </row>
        <row r="1410">
          <cell r="P1410" t="str">
            <v>MARIN</v>
          </cell>
        </row>
        <row r="1411">
          <cell r="P1411" t="str">
            <v>MARINA DI CARRARA</v>
          </cell>
        </row>
        <row r="1412">
          <cell r="P1412" t="str">
            <v>MARINETTE</v>
          </cell>
        </row>
        <row r="1413">
          <cell r="P1413" t="str">
            <v>MARIUPOL</v>
          </cell>
        </row>
        <row r="1414">
          <cell r="P1414" t="str">
            <v>MARMARICE</v>
          </cell>
        </row>
        <row r="1415">
          <cell r="P1415" t="str">
            <v>MARMARIS</v>
          </cell>
        </row>
        <row r="1416">
          <cell r="P1416" t="str">
            <v>MARRERO</v>
          </cell>
        </row>
        <row r="1417">
          <cell r="P1417" t="str">
            <v>MARSA EL BREGA</v>
          </cell>
        </row>
        <row r="1418">
          <cell r="P1418" t="str">
            <v>MARSA EL HAMRA</v>
          </cell>
        </row>
        <row r="1419">
          <cell r="P1419" t="str">
            <v>MARSAXLOKK</v>
          </cell>
        </row>
        <row r="1420">
          <cell r="P1420" t="str">
            <v>MARSDEN POINT</v>
          </cell>
        </row>
        <row r="1421">
          <cell r="P1421" t="str">
            <v>MARSEILLES</v>
          </cell>
        </row>
        <row r="1422">
          <cell r="P1422" t="str">
            <v>MARSHALL</v>
          </cell>
        </row>
        <row r="1423">
          <cell r="P1423" t="str">
            <v>MARSTRAND</v>
          </cell>
        </row>
        <row r="1424">
          <cell r="P1424" t="str">
            <v>MARTINEZ</v>
          </cell>
        </row>
        <row r="1425">
          <cell r="P1425" t="str">
            <v>MARTINIQUE</v>
          </cell>
        </row>
        <row r="1426">
          <cell r="P1426" t="str">
            <v>MASAN</v>
          </cell>
        </row>
        <row r="1427">
          <cell r="P1427" t="str">
            <v>MASBATE</v>
          </cell>
        </row>
        <row r="1428">
          <cell r="P1428" t="str">
            <v>MASINLOC</v>
          </cell>
        </row>
        <row r="1429">
          <cell r="P1429" t="str">
            <v>MASIRAH ISLAND</v>
          </cell>
        </row>
        <row r="1430">
          <cell r="P1430" t="str">
            <v>MASNEDDEVAERKET</v>
          </cell>
        </row>
        <row r="1431">
          <cell r="P1431" t="str">
            <v>MASNEDO</v>
          </cell>
        </row>
        <row r="1432">
          <cell r="P1432" t="str">
            <v>MASSAWA</v>
          </cell>
        </row>
        <row r="1433">
          <cell r="P1433" t="str">
            <v>MASSENA</v>
          </cell>
        </row>
        <row r="1434">
          <cell r="P1434" t="str">
            <v>MATADI</v>
          </cell>
        </row>
        <row r="1435">
          <cell r="P1435" t="str">
            <v>MATANE</v>
          </cell>
        </row>
        <row r="1436">
          <cell r="P1436" t="str">
            <v>MATANZAS</v>
          </cell>
        </row>
        <row r="1437">
          <cell r="P1437" t="str">
            <v>MATANZAS (VEN)</v>
          </cell>
        </row>
        <row r="1438">
          <cell r="P1438" t="str">
            <v>MATARANI</v>
          </cell>
        </row>
        <row r="1439">
          <cell r="P1439" t="str">
            <v>MATSUE</v>
          </cell>
        </row>
        <row r="1440">
          <cell r="P1440" t="str">
            <v>MATSUYA</v>
          </cell>
        </row>
        <row r="1441">
          <cell r="P1441" t="str">
            <v>MATSUYAMA</v>
          </cell>
        </row>
        <row r="1442">
          <cell r="P1442" t="str">
            <v>MAWLAMYINE</v>
          </cell>
        </row>
        <row r="1443">
          <cell r="P1443" t="str">
            <v>MAYAGUEZ</v>
          </cell>
        </row>
        <row r="1444">
          <cell r="P1444" t="str">
            <v>MAYUMBA</v>
          </cell>
        </row>
        <row r="1445">
          <cell r="P1445" t="str">
            <v>MAZATLAN</v>
          </cell>
        </row>
        <row r="1446">
          <cell r="P1446" t="str">
            <v>M'BYA TERMINAL</v>
          </cell>
        </row>
        <row r="1447">
          <cell r="P1447" t="str">
            <v>MEDAN</v>
          </cell>
        </row>
        <row r="1448">
          <cell r="P1448" t="str">
            <v>MEGARA</v>
          </cell>
        </row>
        <row r="1449">
          <cell r="P1449" t="str">
            <v>MEIZHOU</v>
          </cell>
        </row>
        <row r="1450">
          <cell r="P1450" t="str">
            <v>MEJILLONES</v>
          </cell>
        </row>
        <row r="1451">
          <cell r="P1451" t="str">
            <v>MELACCA</v>
          </cell>
        </row>
        <row r="1452">
          <cell r="P1452" t="str">
            <v>MELBOURNE</v>
          </cell>
        </row>
        <row r="1453">
          <cell r="P1453" t="str">
            <v>MELBU</v>
          </cell>
        </row>
        <row r="1454">
          <cell r="P1454" t="str">
            <v>MELILLA</v>
          </cell>
        </row>
        <row r="1455">
          <cell r="P1455" t="str">
            <v>MELILLI</v>
          </cell>
        </row>
        <row r="1456">
          <cell r="P1456" t="str">
            <v>MELSOMVIK</v>
          </cell>
        </row>
        <row r="1457">
          <cell r="P1457" t="str">
            <v>MELVILLE</v>
          </cell>
        </row>
        <row r="1458">
          <cell r="P1458" t="str">
            <v>MENA SAUD</v>
          </cell>
        </row>
        <row r="1459">
          <cell r="P1459" t="str">
            <v>MENADO</v>
          </cell>
        </row>
        <row r="1460">
          <cell r="P1460" t="str">
            <v>MERAK</v>
          </cell>
        </row>
        <row r="1461">
          <cell r="P1461" t="str">
            <v>MERSIN</v>
          </cell>
        </row>
        <row r="1462">
          <cell r="P1462" t="str">
            <v>MERSING</v>
          </cell>
        </row>
        <row r="1463">
          <cell r="P1463" t="str">
            <v>MESAIEED</v>
          </cell>
        </row>
        <row r="1464">
          <cell r="P1464" t="str">
            <v>MESSINA</v>
          </cell>
        </row>
        <row r="1465">
          <cell r="P1465" t="str">
            <v>METHIL</v>
          </cell>
        </row>
        <row r="1466">
          <cell r="P1466" t="str">
            <v>MEZEN</v>
          </cell>
        </row>
        <row r="1467">
          <cell r="P1467" t="str">
            <v>MIAMI</v>
          </cell>
        </row>
        <row r="1468">
          <cell r="P1468" t="str">
            <v>MIDDLESBROUGH</v>
          </cell>
        </row>
        <row r="1469">
          <cell r="P1469" t="str">
            <v>MIIKE</v>
          </cell>
        </row>
        <row r="1470">
          <cell r="P1470" t="str">
            <v>MILAZZO</v>
          </cell>
        </row>
        <row r="1471">
          <cell r="P1471" t="str">
            <v>MILFORD HAVEN</v>
          </cell>
        </row>
        <row r="1472">
          <cell r="P1472" t="str">
            <v>MILNER BAY</v>
          </cell>
        </row>
        <row r="1473">
          <cell r="P1473" t="str">
            <v>MILOS</v>
          </cell>
        </row>
        <row r="1474">
          <cell r="P1474" t="str">
            <v>MILWAUKEE</v>
          </cell>
        </row>
        <row r="1475">
          <cell r="P1475" t="str">
            <v>MINA ABDULLAH</v>
          </cell>
        </row>
        <row r="1476">
          <cell r="P1476" t="str">
            <v>MINA AL AHMADI</v>
          </cell>
        </row>
        <row r="1477">
          <cell r="P1477" t="str">
            <v>MINA AL FAHAL</v>
          </cell>
        </row>
        <row r="1478">
          <cell r="P1478" t="str">
            <v>MINA SAQR</v>
          </cell>
        </row>
        <row r="1479">
          <cell r="P1479" t="str">
            <v>MINA SAUD</v>
          </cell>
        </row>
        <row r="1480">
          <cell r="P1480" t="str">
            <v>MINATITLAN</v>
          </cell>
        </row>
        <row r="1481">
          <cell r="P1481" t="str">
            <v>MIRI</v>
          </cell>
        </row>
        <row r="1482">
          <cell r="P1482" t="str">
            <v>MISTLEY</v>
          </cell>
        </row>
        <row r="1483">
          <cell r="P1483" t="str">
            <v>MISURATA</v>
          </cell>
        </row>
        <row r="1484">
          <cell r="P1484" t="str">
            <v>MITYLENE</v>
          </cell>
        </row>
        <row r="1485">
          <cell r="P1485" t="str">
            <v>MIZUSHIMA</v>
          </cell>
        </row>
        <row r="1486">
          <cell r="P1486" t="str">
            <v>MO I RANA</v>
          </cell>
        </row>
        <row r="1487">
          <cell r="P1487" t="str">
            <v>MOA</v>
          </cell>
        </row>
        <row r="1488">
          <cell r="P1488" t="str">
            <v>MOANDA TERMINAL</v>
          </cell>
        </row>
        <row r="1489">
          <cell r="P1489" t="str">
            <v>MOBILE</v>
          </cell>
        </row>
        <row r="1490">
          <cell r="P1490" t="str">
            <v>MOCAMBES</v>
          </cell>
        </row>
        <row r="1491">
          <cell r="P1491" t="str">
            <v>MOCAMBIQUE</v>
          </cell>
        </row>
        <row r="1492">
          <cell r="P1492" t="str">
            <v>MOCHA</v>
          </cell>
        </row>
        <row r="1493">
          <cell r="P1493" t="str">
            <v>MOENGO</v>
          </cell>
        </row>
        <row r="1494">
          <cell r="P1494" t="str">
            <v>MOERDIJK</v>
          </cell>
        </row>
        <row r="1495">
          <cell r="P1495" t="str">
            <v>MOGADISCIO</v>
          </cell>
        </row>
        <row r="1496">
          <cell r="P1496" t="str">
            <v>MOGADISHU</v>
          </cell>
        </row>
        <row r="1497">
          <cell r="P1497" t="str">
            <v>MOHAMMEDIA</v>
          </cell>
        </row>
        <row r="1498">
          <cell r="P1498" t="str">
            <v>MOIN BAY</v>
          </cell>
        </row>
        <row r="1499">
          <cell r="P1499" t="str">
            <v>MOJI</v>
          </cell>
        </row>
        <row r="1500">
          <cell r="P1500" t="str">
            <v>MOKHA</v>
          </cell>
        </row>
        <row r="1501">
          <cell r="P1501" t="str">
            <v>MOKPO</v>
          </cell>
        </row>
        <row r="1502">
          <cell r="P1502" t="str">
            <v>MOLDE</v>
          </cell>
        </row>
        <row r="1503">
          <cell r="P1503" t="str">
            <v>MOLFETTA</v>
          </cell>
        </row>
        <row r="1504">
          <cell r="P1504" t="str">
            <v>MOLLENDO</v>
          </cell>
        </row>
        <row r="1505">
          <cell r="P1505" t="str">
            <v>MOLOTOVSK</v>
          </cell>
        </row>
        <row r="1506">
          <cell r="P1506" t="str">
            <v>MOMBASA</v>
          </cell>
        </row>
        <row r="1507">
          <cell r="P1507" t="str">
            <v>MONA ISLAND</v>
          </cell>
        </row>
        <row r="1508">
          <cell r="P1508" t="str">
            <v>MONCTON</v>
          </cell>
        </row>
        <row r="1509">
          <cell r="P1509" t="str">
            <v>MONFALCONE</v>
          </cell>
        </row>
        <row r="1510">
          <cell r="P1510" t="str">
            <v>MONGLA</v>
          </cell>
        </row>
        <row r="1511">
          <cell r="P1511" t="str">
            <v>MONGSTAD</v>
          </cell>
        </row>
        <row r="1512">
          <cell r="P1512" t="str">
            <v>MONI ANCHORAGE</v>
          </cell>
        </row>
        <row r="1513">
          <cell r="P1513" t="str">
            <v>MONOPOLI</v>
          </cell>
        </row>
        <row r="1514">
          <cell r="P1514" t="str">
            <v>MONROVIA</v>
          </cell>
        </row>
        <row r="1515">
          <cell r="P1515" t="str">
            <v>MONSTERAS</v>
          </cell>
        </row>
        <row r="1516">
          <cell r="P1516" t="str">
            <v>MONT LOUIS</v>
          </cell>
        </row>
        <row r="1517">
          <cell r="P1517" t="str">
            <v>MONTEGO BAY</v>
          </cell>
        </row>
        <row r="1518">
          <cell r="P1518" t="str">
            <v>MONTEREY</v>
          </cell>
        </row>
        <row r="1519">
          <cell r="P1519" t="str">
            <v>MONTEVIDEO</v>
          </cell>
        </row>
        <row r="1520">
          <cell r="P1520" t="str">
            <v>MONTOIR</v>
          </cell>
        </row>
        <row r="1521">
          <cell r="P1521" t="str">
            <v>MONTREAL</v>
          </cell>
        </row>
        <row r="1522">
          <cell r="P1522" t="str">
            <v>MONTROSE</v>
          </cell>
        </row>
        <row r="1523">
          <cell r="P1523" t="str">
            <v>MOREHEAD CITY</v>
          </cell>
        </row>
        <row r="1524">
          <cell r="P1524" t="str">
            <v>MORMUGAO</v>
          </cell>
        </row>
        <row r="1525">
          <cell r="P1525" t="str">
            <v>MOROMBE</v>
          </cell>
        </row>
        <row r="1526">
          <cell r="P1526" t="str">
            <v>MORONDAVA</v>
          </cell>
        </row>
        <row r="1527">
          <cell r="P1527" t="str">
            <v>MORONI</v>
          </cell>
        </row>
        <row r="1528">
          <cell r="P1528" t="str">
            <v>MORPHOU BAY</v>
          </cell>
        </row>
        <row r="1529">
          <cell r="P1529" t="str">
            <v>MORRISVILLE</v>
          </cell>
        </row>
        <row r="1530">
          <cell r="P1530" t="str">
            <v>MOSKALVO</v>
          </cell>
        </row>
        <row r="1531">
          <cell r="P1531" t="str">
            <v>MOSS</v>
          </cell>
        </row>
        <row r="1532">
          <cell r="P1532" t="str">
            <v>MOSSAMEDES</v>
          </cell>
        </row>
        <row r="1533">
          <cell r="P1533" t="str">
            <v>MOSSEL BAY</v>
          </cell>
        </row>
        <row r="1534">
          <cell r="P1534" t="str">
            <v>MOSTAGANEM</v>
          </cell>
        </row>
        <row r="1535">
          <cell r="P1535" t="str">
            <v>MOTRIL</v>
          </cell>
        </row>
        <row r="1536">
          <cell r="P1536" t="str">
            <v>MOUDI TERMINAL</v>
          </cell>
        </row>
        <row r="1537">
          <cell r="P1537" t="str">
            <v>MOULMEIN</v>
          </cell>
        </row>
        <row r="1538">
          <cell r="P1538" t="str">
            <v>MOUNT MAUNGANUI</v>
          </cell>
        </row>
        <row r="1539">
          <cell r="P1539" t="str">
            <v>MOURILYAN</v>
          </cell>
        </row>
        <row r="1540">
          <cell r="P1540" t="str">
            <v>MOVILLE</v>
          </cell>
        </row>
        <row r="1541">
          <cell r="P1541" t="str">
            <v>MOZAMBIQUE ISLAND</v>
          </cell>
        </row>
        <row r="1542">
          <cell r="P1542" t="str">
            <v>MTWARA</v>
          </cell>
        </row>
        <row r="1543">
          <cell r="P1543" t="str">
            <v>MUDA TERMINAL</v>
          </cell>
        </row>
        <row r="1544">
          <cell r="P1544" t="str">
            <v>MUKALLA</v>
          </cell>
        </row>
        <row r="1545">
          <cell r="P1545" t="str">
            <v>MUMBAI</v>
          </cell>
        </row>
        <row r="1546">
          <cell r="P1546" t="str">
            <v>MUNDRA</v>
          </cell>
        </row>
        <row r="1547">
          <cell r="P1547" t="str">
            <v>MUNGUBA</v>
          </cell>
        </row>
        <row r="1548">
          <cell r="P1548" t="str">
            <v>MUNKSUND</v>
          </cell>
        </row>
        <row r="1549">
          <cell r="P1549" t="str">
            <v>MURMANSK</v>
          </cell>
        </row>
        <row r="1550">
          <cell r="P1550" t="str">
            <v>MURORAN</v>
          </cell>
        </row>
        <row r="1551">
          <cell r="P1551" t="str">
            <v>MURUVIK</v>
          </cell>
        </row>
        <row r="1552">
          <cell r="P1552" t="str">
            <v>MUSCAT</v>
          </cell>
        </row>
        <row r="1553">
          <cell r="P1553" t="str">
            <v>MUTSURE</v>
          </cell>
        </row>
        <row r="1554">
          <cell r="P1554" t="str">
            <v>NAANTALI</v>
          </cell>
        </row>
        <row r="1555">
          <cell r="P1555" t="str">
            <v>NACALA</v>
          </cell>
        </row>
        <row r="1556">
          <cell r="P1556" t="str">
            <v>NADENDAL</v>
          </cell>
        </row>
        <row r="1557">
          <cell r="P1557" t="str">
            <v>NADOR</v>
          </cell>
        </row>
        <row r="1558">
          <cell r="P1558" t="str">
            <v>NAESTVED</v>
          </cell>
        </row>
        <row r="1559">
          <cell r="P1559" t="str">
            <v>NAGASAKI</v>
          </cell>
        </row>
        <row r="1560">
          <cell r="P1560" t="str">
            <v>NAGOYA</v>
          </cell>
        </row>
        <row r="1561">
          <cell r="P1561" t="str">
            <v>NAHA</v>
          </cell>
        </row>
        <row r="1562">
          <cell r="P1562" t="str">
            <v>NAKAGASUKU, JAPAN - OKINAWA</v>
          </cell>
        </row>
        <row r="1563">
          <cell r="P1563" t="str">
            <v>NAKHODKA</v>
          </cell>
        </row>
        <row r="1564">
          <cell r="P1564" t="str">
            <v>NAKSKOV</v>
          </cell>
        </row>
        <row r="1565">
          <cell r="P1565" t="str">
            <v>NAMIKATA</v>
          </cell>
        </row>
        <row r="1566">
          <cell r="P1566" t="str">
            <v>NAMSOS</v>
          </cell>
        </row>
        <row r="1567">
          <cell r="P1567" t="str">
            <v>NANAIMO</v>
          </cell>
        </row>
        <row r="1568">
          <cell r="P1568" t="str">
            <v>NANJING</v>
          </cell>
        </row>
        <row r="1569">
          <cell r="P1569" t="str">
            <v>NANKING</v>
          </cell>
        </row>
        <row r="1570">
          <cell r="P1570" t="str">
            <v>NANTES</v>
          </cell>
        </row>
        <row r="1571">
          <cell r="P1571" t="str">
            <v>NANTONG</v>
          </cell>
        </row>
        <row r="1572">
          <cell r="P1572" t="str">
            <v>NAOETSU</v>
          </cell>
        </row>
        <row r="1573">
          <cell r="P1573" t="str">
            <v>NAOSHIMA</v>
          </cell>
        </row>
        <row r="1574">
          <cell r="P1574" t="str">
            <v>NAPA NAPA REFINERY</v>
          </cell>
        </row>
        <row r="1575">
          <cell r="P1575" t="str">
            <v>NAPIER</v>
          </cell>
        </row>
        <row r="1576">
          <cell r="P1576" t="str">
            <v>NAPLES</v>
          </cell>
        </row>
        <row r="1577">
          <cell r="P1577" t="str">
            <v>NAPOLI</v>
          </cell>
        </row>
        <row r="1578">
          <cell r="P1578" t="str">
            <v>NARSSARSSUAQ</v>
          </cell>
        </row>
        <row r="1579">
          <cell r="P1579" t="str">
            <v>NARVIK</v>
          </cell>
        </row>
        <row r="1580">
          <cell r="P1580" t="str">
            <v>NASSAU</v>
          </cell>
        </row>
        <row r="1581">
          <cell r="P1581" t="str">
            <v>NATAL</v>
          </cell>
        </row>
        <row r="1582">
          <cell r="P1582" t="str">
            <v>NAUPLIA</v>
          </cell>
        </row>
        <row r="1583">
          <cell r="P1583" t="str">
            <v>NAURU ISLAND</v>
          </cell>
        </row>
        <row r="1584">
          <cell r="P1584" t="str">
            <v>NAVAKCHOTT</v>
          </cell>
        </row>
        <row r="1585">
          <cell r="P1585" t="str">
            <v>NAVARINO</v>
          </cell>
        </row>
        <row r="1586">
          <cell r="P1586" t="str">
            <v>NAVLAKHI</v>
          </cell>
        </row>
        <row r="1587">
          <cell r="P1587" t="str">
            <v>NAVPLION</v>
          </cell>
        </row>
        <row r="1588">
          <cell r="P1588" t="str">
            <v>NEA KARVALI</v>
          </cell>
        </row>
        <row r="1589">
          <cell r="P1589" t="str">
            <v>NECOCHEA</v>
          </cell>
        </row>
        <row r="1590">
          <cell r="P1590" t="str">
            <v>NEDERLAND TERMINAL</v>
          </cell>
        </row>
        <row r="1591">
          <cell r="P1591" t="str">
            <v>NEGISHI</v>
          </cell>
        </row>
        <row r="1592">
          <cell r="P1592" t="str">
            <v>NEGRITOS</v>
          </cell>
        </row>
        <row r="1593">
          <cell r="P1593" t="str">
            <v>NELSON</v>
          </cell>
        </row>
        <row r="1594">
          <cell r="P1594" t="str">
            <v>NEMRUT BAY</v>
          </cell>
        </row>
        <row r="1595">
          <cell r="P1595" t="str">
            <v>NEVIS</v>
          </cell>
        </row>
        <row r="1596">
          <cell r="P1596" t="str">
            <v>NEW AMSTERDAM</v>
          </cell>
        </row>
        <row r="1597">
          <cell r="P1597" t="str">
            <v>NEW BEDFORD</v>
          </cell>
        </row>
        <row r="1598">
          <cell r="P1598" t="str">
            <v>NEW CASTLE</v>
          </cell>
        </row>
        <row r="1599">
          <cell r="P1599" t="str">
            <v>NEW GLASGOW</v>
          </cell>
        </row>
        <row r="1600">
          <cell r="P1600" t="str">
            <v>NEW HAVEN</v>
          </cell>
        </row>
        <row r="1601">
          <cell r="P1601" t="str">
            <v>NEW HOLLAND</v>
          </cell>
        </row>
        <row r="1602">
          <cell r="P1602" t="str">
            <v>NEW LONDON</v>
          </cell>
        </row>
        <row r="1603">
          <cell r="P1603" t="str">
            <v>NEW MANGALORE</v>
          </cell>
        </row>
        <row r="1604">
          <cell r="P1604" t="str">
            <v>NEW ORLEANS</v>
          </cell>
        </row>
        <row r="1605">
          <cell r="P1605" t="str">
            <v>NEW PLYMOUTH</v>
          </cell>
        </row>
        <row r="1606">
          <cell r="P1606" t="str">
            <v>NEW RICHMOND</v>
          </cell>
        </row>
        <row r="1607">
          <cell r="P1607" t="str">
            <v>NEW ROSS</v>
          </cell>
        </row>
        <row r="1608">
          <cell r="P1608" t="str">
            <v>NEW WESTMINSTER</v>
          </cell>
        </row>
        <row r="1609">
          <cell r="P1609" t="str">
            <v>NEW YORK</v>
          </cell>
        </row>
        <row r="1610">
          <cell r="P1610" t="str">
            <v>NEWARK</v>
          </cell>
        </row>
        <row r="1611">
          <cell r="P1611" t="str">
            <v>NEWBURGH</v>
          </cell>
        </row>
        <row r="1612">
          <cell r="P1612" t="str">
            <v>NEWCASTLE (AUS)</v>
          </cell>
        </row>
        <row r="1613">
          <cell r="P1613" t="str">
            <v>NEWCASTLE (CAN)</v>
          </cell>
        </row>
        <row r="1614">
          <cell r="P1614" t="str">
            <v>NEWCASTLE (TYNE)</v>
          </cell>
        </row>
        <row r="1615">
          <cell r="P1615" t="str">
            <v>NEWCHWANG</v>
          </cell>
        </row>
        <row r="1616">
          <cell r="P1616" t="str">
            <v>NEWHAVEN</v>
          </cell>
        </row>
        <row r="1617">
          <cell r="P1617" t="str">
            <v>NEWPORT (UKW)</v>
          </cell>
        </row>
        <row r="1618">
          <cell r="P1618" t="str">
            <v>NEWPORT (USA)</v>
          </cell>
        </row>
        <row r="1619">
          <cell r="P1619" t="str">
            <v>NEWPORT NEWS</v>
          </cell>
        </row>
        <row r="1620">
          <cell r="P1620" t="str">
            <v>NHAVA SHEVA</v>
          </cell>
        </row>
        <row r="1621">
          <cell r="P1621" t="str">
            <v>NICE</v>
          </cell>
        </row>
        <row r="1622">
          <cell r="P1622" t="str">
            <v>NIEW DIEP</v>
          </cell>
        </row>
        <row r="1623">
          <cell r="P1623" t="str">
            <v>NIGG BAY</v>
          </cell>
        </row>
        <row r="1624">
          <cell r="P1624" t="str">
            <v>NIGG TERMINAL</v>
          </cell>
        </row>
        <row r="1625">
          <cell r="P1625" t="str">
            <v>NIIGATA</v>
          </cell>
        </row>
        <row r="1626">
          <cell r="P1626" t="str">
            <v>NIIHAMA</v>
          </cell>
        </row>
        <row r="1627">
          <cell r="P1627" t="str">
            <v>NIKISKI</v>
          </cell>
        </row>
        <row r="1628">
          <cell r="P1628" t="str">
            <v>NIKOLAYEV</v>
          </cell>
        </row>
        <row r="1629">
          <cell r="P1629" t="str">
            <v>NINGBO</v>
          </cell>
        </row>
        <row r="1630">
          <cell r="P1630" t="str">
            <v>NISHIHARA</v>
          </cell>
        </row>
        <row r="1631">
          <cell r="P1631" t="str">
            <v>NOME</v>
          </cell>
        </row>
        <row r="1632">
          <cell r="P1632" t="str">
            <v>NONOC ISLAND</v>
          </cell>
        </row>
        <row r="1633">
          <cell r="P1633" t="str">
            <v>NORCO</v>
          </cell>
        </row>
        <row r="1634">
          <cell r="P1634" t="str">
            <v>NORDDAL</v>
          </cell>
        </row>
        <row r="1635">
          <cell r="P1635" t="str">
            <v>NORDENHAM</v>
          </cell>
        </row>
        <row r="1636">
          <cell r="P1636" t="str">
            <v>NORDFJORDEID</v>
          </cell>
        </row>
        <row r="1637">
          <cell r="P1637" t="str">
            <v>NORFOLK</v>
          </cell>
        </row>
        <row r="1638">
          <cell r="P1638" t="str">
            <v>NORFOLK ISLAND</v>
          </cell>
        </row>
        <row r="1639">
          <cell r="P1639" t="str">
            <v>NORRKOPING</v>
          </cell>
        </row>
        <row r="1640">
          <cell r="P1640" t="str">
            <v>NORSWORTHY</v>
          </cell>
        </row>
        <row r="1641">
          <cell r="P1641" t="str">
            <v>NORTH CAPE</v>
          </cell>
        </row>
        <row r="1642">
          <cell r="P1642" t="str">
            <v>NORTH STAR BUGT</v>
          </cell>
        </row>
        <row r="1643">
          <cell r="P1643" t="str">
            <v>NORTH WEST CAPE</v>
          </cell>
        </row>
        <row r="1644">
          <cell r="P1644" t="str">
            <v>NORTH WEYMOUTH</v>
          </cell>
        </row>
        <row r="1645">
          <cell r="P1645" t="str">
            <v>NORTH WOOLWICH</v>
          </cell>
        </row>
        <row r="1646">
          <cell r="P1646" t="str">
            <v>NORTHFLEET</v>
          </cell>
        </row>
        <row r="1647">
          <cell r="P1647" t="str">
            <v>NORTHPORT</v>
          </cell>
        </row>
        <row r="1648">
          <cell r="P1648" t="str">
            <v>NORTHVILLE</v>
          </cell>
        </row>
        <row r="1649">
          <cell r="P1649" t="str">
            <v>NOSSI BE</v>
          </cell>
        </row>
        <row r="1650">
          <cell r="P1650" t="str">
            <v>NOSY BE</v>
          </cell>
        </row>
        <row r="1651">
          <cell r="P1651" t="str">
            <v>NOUADHIBOU</v>
          </cell>
        </row>
        <row r="1652">
          <cell r="P1652" t="str">
            <v>NOUAKCHOTT</v>
          </cell>
        </row>
        <row r="1653">
          <cell r="P1653" t="str">
            <v>NOUMEA</v>
          </cell>
        </row>
        <row r="1654">
          <cell r="P1654" t="str">
            <v>NOVOROSSISK</v>
          </cell>
        </row>
        <row r="1655">
          <cell r="P1655" t="str">
            <v>NUEVA PALMIRA</v>
          </cell>
        </row>
        <row r="1656">
          <cell r="P1656" t="str">
            <v>NUEVITAS</v>
          </cell>
        </row>
        <row r="1657">
          <cell r="P1657" t="str">
            <v>NUKUALOFA</v>
          </cell>
        </row>
        <row r="1658">
          <cell r="P1658" t="str">
            <v>NUUK</v>
          </cell>
        </row>
        <row r="1659">
          <cell r="P1659" t="str">
            <v>NYBORG</v>
          </cell>
        </row>
        <row r="1660">
          <cell r="P1660" t="str">
            <v>NYKOBING (FALSTER)</v>
          </cell>
        </row>
        <row r="1661">
          <cell r="P1661" t="str">
            <v>NYKOPING</v>
          </cell>
        </row>
        <row r="1662">
          <cell r="P1662" t="str">
            <v>NYNASHAMN</v>
          </cell>
        </row>
        <row r="1663">
          <cell r="P1663" t="str">
            <v>NYSTAD</v>
          </cell>
        </row>
        <row r="1664">
          <cell r="P1664" t="str">
            <v>NYVARP</v>
          </cell>
        </row>
        <row r="1665">
          <cell r="P1665" t="str">
            <v>OAKHAM NESS</v>
          </cell>
        </row>
        <row r="1666">
          <cell r="P1666" t="str">
            <v>OAKLAND</v>
          </cell>
        </row>
        <row r="1667">
          <cell r="P1667" t="str">
            <v>OAKVILLE</v>
          </cell>
        </row>
        <row r="1668">
          <cell r="P1668" t="str">
            <v>OAMARU</v>
          </cell>
        </row>
        <row r="1669">
          <cell r="P1669" t="str">
            <v>OBAN</v>
          </cell>
        </row>
        <row r="1670">
          <cell r="P1670" t="str">
            <v>OCEAN CAY</v>
          </cell>
        </row>
        <row r="1671">
          <cell r="P1671" t="str">
            <v>OCEAN FALLS</v>
          </cell>
        </row>
        <row r="1672">
          <cell r="P1672" t="str">
            <v>OCEAN ISLAND</v>
          </cell>
        </row>
        <row r="1673">
          <cell r="P1673" t="str">
            <v>ODDA</v>
          </cell>
        </row>
        <row r="1674">
          <cell r="P1674" t="str">
            <v>ODENSE</v>
          </cell>
        </row>
        <row r="1675">
          <cell r="P1675" t="str">
            <v>ODESSA</v>
          </cell>
        </row>
        <row r="1676">
          <cell r="P1676" t="str">
            <v>ODUDU TERMINAL, NIGERIA</v>
          </cell>
        </row>
        <row r="1677">
          <cell r="P1677" t="str">
            <v>OFF GALVESTON</v>
          </cell>
        </row>
        <row r="1678">
          <cell r="P1678" t="str">
            <v>OFF LOS ANGELES</v>
          </cell>
        </row>
        <row r="1679">
          <cell r="P1679" t="str">
            <v>OFUNATO</v>
          </cell>
        </row>
        <row r="1680">
          <cell r="P1680" t="str">
            <v>OGUENDJO TERMINAL, GABON</v>
          </cell>
        </row>
        <row r="1681">
          <cell r="P1681" t="str">
            <v>OITA</v>
          </cell>
        </row>
        <row r="1682">
          <cell r="P1682" t="str">
            <v>OKONO TERMINAL</v>
          </cell>
        </row>
        <row r="1683">
          <cell r="P1683" t="str">
            <v>OKTYABRSKIY</v>
          </cell>
        </row>
        <row r="1684">
          <cell r="P1684" t="str">
            <v>OKWORI</v>
          </cell>
        </row>
        <row r="1685">
          <cell r="P1685" t="str">
            <v>OLD KILPATRICK</v>
          </cell>
        </row>
        <row r="1686">
          <cell r="P1686" t="str">
            <v>OLDENBURG</v>
          </cell>
        </row>
        <row r="1687">
          <cell r="P1687" t="str">
            <v>OLONGAPO</v>
          </cell>
        </row>
        <row r="1688">
          <cell r="P1688" t="str">
            <v>OMISHIMA</v>
          </cell>
        </row>
        <row r="1689">
          <cell r="P1689" t="str">
            <v>ONAGAWA</v>
          </cell>
        </row>
        <row r="1690">
          <cell r="P1690" t="str">
            <v>ONAHAMA</v>
          </cell>
        </row>
        <row r="1691">
          <cell r="P1691" t="str">
            <v>ONNE</v>
          </cell>
        </row>
        <row r="1692">
          <cell r="P1692" t="str">
            <v>ONOGAWA</v>
          </cell>
        </row>
        <row r="1693">
          <cell r="P1693" t="str">
            <v>ONSAN</v>
          </cell>
        </row>
        <row r="1694">
          <cell r="P1694" t="str">
            <v>ONSLOW</v>
          </cell>
        </row>
        <row r="1695">
          <cell r="P1695" t="str">
            <v>OOSTENDE</v>
          </cell>
        </row>
        <row r="1696">
          <cell r="P1696" t="str">
            <v>OPL NIG</v>
          </cell>
        </row>
        <row r="1697">
          <cell r="P1697" t="str">
            <v>OPORTO</v>
          </cell>
        </row>
        <row r="1698">
          <cell r="P1698" t="str">
            <v>ORAN</v>
          </cell>
        </row>
        <row r="1699">
          <cell r="P1699" t="str">
            <v>ORANGE</v>
          </cell>
        </row>
        <row r="1700">
          <cell r="P1700" t="str">
            <v>ORANJEMUND</v>
          </cell>
        </row>
        <row r="1701">
          <cell r="P1701" t="str">
            <v>ORISTANO</v>
          </cell>
        </row>
        <row r="1702">
          <cell r="P1702" t="str">
            <v>ORKANGER</v>
          </cell>
        </row>
        <row r="1703">
          <cell r="P1703" t="str">
            <v>ORNSKOLDSVIK</v>
          </cell>
        </row>
        <row r="1704">
          <cell r="P1704" t="str">
            <v>ORO BAY</v>
          </cell>
        </row>
        <row r="1705">
          <cell r="P1705" t="str">
            <v>ORSTA, SWEDEN</v>
          </cell>
        </row>
        <row r="1706">
          <cell r="P1706" t="str">
            <v>ORTONA</v>
          </cell>
        </row>
        <row r="1707">
          <cell r="P1707" t="str">
            <v>ORTVIKEN</v>
          </cell>
        </row>
        <row r="1708">
          <cell r="P1708" t="str">
            <v>ORVIKEN</v>
          </cell>
        </row>
        <row r="1709">
          <cell r="P1709" t="str">
            <v>OSAKA</v>
          </cell>
        </row>
        <row r="1710">
          <cell r="P1710" t="str">
            <v>OSEBERG</v>
          </cell>
        </row>
        <row r="1711">
          <cell r="P1711" t="str">
            <v>OSKARSHAMN</v>
          </cell>
        </row>
        <row r="1712">
          <cell r="P1712" t="str">
            <v>OSLO</v>
          </cell>
        </row>
        <row r="1713">
          <cell r="P1713" t="str">
            <v>OSLO (FAGERSTRAND)</v>
          </cell>
        </row>
        <row r="1714">
          <cell r="P1714" t="str">
            <v>OSTEND</v>
          </cell>
        </row>
        <row r="1715">
          <cell r="P1715" t="str">
            <v>OSTERMOOR</v>
          </cell>
        </row>
        <row r="1716">
          <cell r="P1716" t="str">
            <v>OSTRICA</v>
          </cell>
        </row>
        <row r="1717">
          <cell r="P1717" t="str">
            <v>OSWEGO</v>
          </cell>
        </row>
        <row r="1718">
          <cell r="P1718" t="str">
            <v>OTARU</v>
          </cell>
        </row>
        <row r="1719">
          <cell r="P1719" t="str">
            <v>OTRANTO</v>
          </cell>
        </row>
        <row r="1720">
          <cell r="P1720" t="str">
            <v>OULU</v>
          </cell>
        </row>
        <row r="1721">
          <cell r="P1721" t="str">
            <v>OWASE</v>
          </cell>
        </row>
        <row r="1722">
          <cell r="P1722" t="str">
            <v>OWENDO</v>
          </cell>
        </row>
        <row r="1723">
          <cell r="P1723" t="str">
            <v>OXELOSUND</v>
          </cell>
        </row>
        <row r="1724">
          <cell r="P1724" t="str">
            <v>PACASMAYO</v>
          </cell>
        </row>
        <row r="1725">
          <cell r="P1725" t="str">
            <v>PACIFIC LIGHTERING AREA</v>
          </cell>
        </row>
        <row r="1726">
          <cell r="P1726" t="str">
            <v>PADANG</v>
          </cell>
        </row>
        <row r="1727">
          <cell r="P1727" t="str">
            <v>PAITA</v>
          </cell>
        </row>
        <row r="1728">
          <cell r="P1728" t="str">
            <v>PAJARITOS</v>
          </cell>
        </row>
        <row r="1729">
          <cell r="P1729" t="str">
            <v>PAKANBARU</v>
          </cell>
        </row>
        <row r="1730">
          <cell r="P1730" t="str">
            <v>PALAMOS</v>
          </cell>
        </row>
        <row r="1731">
          <cell r="P1731" t="str">
            <v>PALANCA TERMINAL</v>
          </cell>
        </row>
        <row r="1732">
          <cell r="P1732" t="str">
            <v>PALDISKI</v>
          </cell>
        </row>
        <row r="1733">
          <cell r="P1733" t="str">
            <v>PALEMBANG (MUNTOK)</v>
          </cell>
        </row>
        <row r="1734">
          <cell r="P1734" t="str">
            <v>PALEMBANG (PLADJU)</v>
          </cell>
        </row>
        <row r="1735">
          <cell r="P1735" t="str">
            <v>PALEMBANG (SUNGEI)</v>
          </cell>
        </row>
        <row r="1736">
          <cell r="P1736" t="str">
            <v>PALERMO</v>
          </cell>
        </row>
        <row r="1737">
          <cell r="P1737" t="str">
            <v>PALM BEACH</v>
          </cell>
        </row>
        <row r="1738">
          <cell r="P1738" t="str">
            <v>PALMA</v>
          </cell>
        </row>
        <row r="1739">
          <cell r="P1739" t="str">
            <v>PALMAREJO</v>
          </cell>
        </row>
        <row r="1740">
          <cell r="P1740" t="str">
            <v>PALMAREJO DE MARA</v>
          </cell>
        </row>
        <row r="1741">
          <cell r="P1741" t="str">
            <v>PALMEIRA</v>
          </cell>
        </row>
        <row r="1742">
          <cell r="P1742" t="str">
            <v>PALUA</v>
          </cell>
        </row>
        <row r="1743">
          <cell r="P1743" t="str">
            <v>PAMATACUAL</v>
          </cell>
        </row>
        <row r="1744">
          <cell r="P1744" t="str">
            <v>PANAMA CITY</v>
          </cell>
        </row>
        <row r="1745">
          <cell r="P1745" t="str">
            <v>PANDJANG</v>
          </cell>
        </row>
        <row r="1746">
          <cell r="P1746" t="str">
            <v>PANGKALAN SUSU</v>
          </cell>
        </row>
        <row r="1747">
          <cell r="P1747" t="str">
            <v>PANJANG</v>
          </cell>
        </row>
        <row r="1748">
          <cell r="P1748" t="str">
            <v>PAPEETE</v>
          </cell>
        </row>
        <row r="1749">
          <cell r="P1749" t="str">
            <v>PAPHOS</v>
          </cell>
        </row>
        <row r="1750">
          <cell r="P1750" t="str">
            <v>PARADIP</v>
          </cell>
        </row>
        <row r="1751">
          <cell r="P1751" t="str">
            <v>PARAMARIBO</v>
          </cell>
        </row>
        <row r="1752">
          <cell r="P1752" t="str">
            <v>PARAMONGA</v>
          </cell>
        </row>
        <row r="1753">
          <cell r="P1753" t="str">
            <v>PARANA</v>
          </cell>
        </row>
        <row r="1754">
          <cell r="P1754" t="str">
            <v>PARANAGUA</v>
          </cell>
        </row>
        <row r="1755">
          <cell r="P1755" t="str">
            <v>PARANAM</v>
          </cell>
        </row>
        <row r="1756">
          <cell r="P1756" t="str">
            <v>PAREPARE</v>
          </cell>
        </row>
        <row r="1757">
          <cell r="P1757" t="str">
            <v>PARNU</v>
          </cell>
        </row>
        <row r="1758">
          <cell r="P1758" t="str">
            <v>PAROS ISLAND</v>
          </cell>
        </row>
        <row r="1759">
          <cell r="P1759" t="str">
            <v>PARTINGTON</v>
          </cell>
        </row>
        <row r="1760">
          <cell r="P1760" t="str">
            <v>PASADENA</v>
          </cell>
        </row>
        <row r="1761">
          <cell r="P1761" t="str">
            <v>PASAJES</v>
          </cell>
        </row>
        <row r="1762">
          <cell r="P1762" t="str">
            <v>PASCAGOULA</v>
          </cell>
        </row>
        <row r="1763">
          <cell r="P1763" t="str">
            <v>PASGAGOULA</v>
          </cell>
        </row>
        <row r="1764">
          <cell r="P1764" t="str">
            <v>PASIR GUDANG</v>
          </cell>
        </row>
        <row r="1765">
          <cell r="P1765" t="str">
            <v>PATHEIN, MYANMAR</v>
          </cell>
        </row>
        <row r="1766">
          <cell r="P1766" t="str">
            <v>PATRAS</v>
          </cell>
        </row>
        <row r="1767">
          <cell r="P1767" t="str">
            <v>PAUILLAC</v>
          </cell>
        </row>
        <row r="1768">
          <cell r="P1768" t="str">
            <v>PAULSBORO</v>
          </cell>
        </row>
        <row r="1769">
          <cell r="P1769" t="str">
            <v>PAYARDI ISLAND</v>
          </cell>
        </row>
        <row r="1770">
          <cell r="P1770" t="str">
            <v>PAYSANDU</v>
          </cell>
        </row>
        <row r="1771">
          <cell r="P1771" t="str">
            <v>PEKANBARU</v>
          </cell>
        </row>
        <row r="1772">
          <cell r="P1772" t="str">
            <v>PEMBA</v>
          </cell>
        </row>
        <row r="1773">
          <cell r="P1773" t="str">
            <v>PEMBROKE DOCK</v>
          </cell>
        </row>
        <row r="1774">
          <cell r="P1774" t="str">
            <v>PENANG</v>
          </cell>
        </row>
        <row r="1775">
          <cell r="P1775" t="str">
            <v>PENCO</v>
          </cell>
        </row>
        <row r="1776">
          <cell r="P1776" t="str">
            <v>PENG LAI</v>
          </cell>
        </row>
        <row r="1777">
          <cell r="P1777" t="str">
            <v>PENGLAI</v>
          </cell>
        </row>
        <row r="1778">
          <cell r="P1778" t="str">
            <v>PENNINGTON</v>
          </cell>
        </row>
        <row r="1779">
          <cell r="P1779" t="str">
            <v>PENSACOLA</v>
          </cell>
        </row>
        <row r="1780">
          <cell r="P1780" t="str">
            <v>PENSAUKEN</v>
          </cell>
        </row>
        <row r="1781">
          <cell r="P1781" t="str">
            <v>PENZANCE</v>
          </cell>
        </row>
        <row r="1782">
          <cell r="P1782" t="str">
            <v>PEPEL</v>
          </cell>
        </row>
        <row r="1783">
          <cell r="P1783" t="str">
            <v>PERAI, MALAYSIA - PENINSULAR MAL</v>
          </cell>
        </row>
        <row r="1784">
          <cell r="P1784" t="str">
            <v>PERAMA</v>
          </cell>
        </row>
        <row r="1785">
          <cell r="P1785" t="str">
            <v>PERIM</v>
          </cell>
        </row>
        <row r="1786">
          <cell r="P1786" t="str">
            <v>PERNIS</v>
          </cell>
        </row>
        <row r="1787">
          <cell r="P1787" t="str">
            <v>PERPIGNON</v>
          </cell>
        </row>
        <row r="1788">
          <cell r="P1788" t="str">
            <v>PERTH AMBOY</v>
          </cell>
        </row>
        <row r="1789">
          <cell r="P1789" t="str">
            <v>PERTIGALETE</v>
          </cell>
        </row>
        <row r="1790">
          <cell r="P1790" t="str">
            <v>PESCARA</v>
          </cell>
        </row>
        <row r="1791">
          <cell r="P1791" t="str">
            <v>PETERHEAD</v>
          </cell>
        </row>
        <row r="1792">
          <cell r="P1792" t="str">
            <v>PETIT COURONNE</v>
          </cell>
        </row>
        <row r="1793">
          <cell r="P1793" t="str">
            <v>PHILADELPHIA</v>
          </cell>
        </row>
        <row r="1794">
          <cell r="P1794" t="str">
            <v>PHILIPPENVILLE</v>
          </cell>
        </row>
        <row r="1795">
          <cell r="P1795" t="str">
            <v>PHUKET</v>
          </cell>
        </row>
        <row r="1796">
          <cell r="P1796" t="str">
            <v>PICTON</v>
          </cell>
        </row>
        <row r="1797">
          <cell r="P1797" t="str">
            <v>PICTOU (CAN)</v>
          </cell>
        </row>
        <row r="1798">
          <cell r="P1798" t="str">
            <v>PICTOU (NZ)</v>
          </cell>
        </row>
        <row r="1799">
          <cell r="P1799" t="str">
            <v>PIETARSAARI</v>
          </cell>
        </row>
        <row r="1800">
          <cell r="P1800" t="str">
            <v>PILOT TOWN</v>
          </cell>
        </row>
        <row r="1801">
          <cell r="P1801" t="str">
            <v>PIMENTEL</v>
          </cell>
        </row>
        <row r="1802">
          <cell r="P1802" t="str">
            <v>PINEY POINT</v>
          </cell>
        </row>
        <row r="1803">
          <cell r="P1803" t="str">
            <v>PIOMBINO</v>
          </cell>
        </row>
        <row r="1804">
          <cell r="P1804" t="str">
            <v>PIPAVAV</v>
          </cell>
        </row>
        <row r="1805">
          <cell r="P1805" t="str">
            <v>PIRAEUS</v>
          </cell>
        </row>
        <row r="1806">
          <cell r="P1806" t="str">
            <v>PIRIAC</v>
          </cell>
        </row>
        <row r="1807">
          <cell r="P1807" t="str">
            <v>PISAGUA</v>
          </cell>
        </row>
        <row r="1808">
          <cell r="P1808" t="str">
            <v>PISCO</v>
          </cell>
        </row>
        <row r="1809">
          <cell r="P1809" t="str">
            <v>PITCAIRN ISLAND</v>
          </cell>
        </row>
        <row r="1810">
          <cell r="P1810" t="str">
            <v>PITEA</v>
          </cell>
        </row>
        <row r="1811">
          <cell r="P1811" t="str">
            <v>PLAQUEMINE</v>
          </cell>
        </row>
        <row r="1812">
          <cell r="P1812" t="str">
            <v>PLATEA</v>
          </cell>
        </row>
        <row r="1813">
          <cell r="P1813" t="str">
            <v>PLOCE</v>
          </cell>
        </row>
        <row r="1814">
          <cell r="P1814" t="str">
            <v>PLYMOUTH</v>
          </cell>
        </row>
        <row r="1815">
          <cell r="P1815" t="str">
            <v>POHANG</v>
          </cell>
        </row>
        <row r="1816">
          <cell r="P1816" t="str">
            <v>POINT AYRE</v>
          </cell>
        </row>
        <row r="1817">
          <cell r="P1817" t="str">
            <v>POINT BELLE DUNE</v>
          </cell>
        </row>
        <row r="1818">
          <cell r="P1818" t="str">
            <v>POINT COMFORT</v>
          </cell>
        </row>
        <row r="1819">
          <cell r="P1819" t="str">
            <v>POINT DE GALLE</v>
          </cell>
        </row>
        <row r="1820">
          <cell r="P1820" t="str">
            <v>POINT FORTIN</v>
          </cell>
        </row>
        <row r="1821">
          <cell r="P1821" t="str">
            <v>POINT LISAS</v>
          </cell>
        </row>
        <row r="1822">
          <cell r="P1822" t="str">
            <v>POINT OF AYRE</v>
          </cell>
        </row>
        <row r="1823">
          <cell r="P1823" t="str">
            <v>POINT PEDRO</v>
          </cell>
        </row>
        <row r="1824">
          <cell r="P1824" t="str">
            <v>POINT SAMSON</v>
          </cell>
        </row>
        <row r="1825">
          <cell r="P1825" t="str">
            <v>POINT TUPPER</v>
          </cell>
        </row>
        <row r="1826">
          <cell r="P1826" t="str">
            <v>POINTE A PIERRE</v>
          </cell>
        </row>
        <row r="1827">
          <cell r="P1827" t="str">
            <v>POINTE A PITRE</v>
          </cell>
        </row>
        <row r="1828">
          <cell r="P1828" t="str">
            <v>POINTE AU PERE, CANADA - QUEBEC</v>
          </cell>
        </row>
        <row r="1829">
          <cell r="P1829" t="str">
            <v>POINTE DES GALETS</v>
          </cell>
        </row>
        <row r="1830">
          <cell r="P1830" t="str">
            <v>POINTE NOIRE</v>
          </cell>
        </row>
        <row r="1831">
          <cell r="P1831" t="str">
            <v>POLA</v>
          </cell>
        </row>
        <row r="1832">
          <cell r="P1832" t="str">
            <v>POLICE</v>
          </cell>
        </row>
        <row r="1833">
          <cell r="P1833" t="str">
            <v>POLLOC</v>
          </cell>
        </row>
        <row r="1834">
          <cell r="P1834" t="str">
            <v>POMALAA</v>
          </cell>
        </row>
        <row r="1835">
          <cell r="P1835" t="str">
            <v>PONCE</v>
          </cell>
        </row>
        <row r="1836">
          <cell r="P1836" t="str">
            <v>PONDICHERRY</v>
          </cell>
        </row>
        <row r="1837">
          <cell r="P1837" t="str">
            <v>PONTA DELGADA</v>
          </cell>
        </row>
        <row r="1838">
          <cell r="P1838" t="str">
            <v>PONTIANAK</v>
          </cell>
        </row>
        <row r="1839">
          <cell r="P1839" t="str">
            <v>POOLE</v>
          </cell>
        </row>
        <row r="1840">
          <cell r="P1840" t="str">
            <v>PORI</v>
          </cell>
        </row>
        <row r="1841">
          <cell r="P1841" t="str">
            <v>PORO (NCA)</v>
          </cell>
        </row>
        <row r="1842">
          <cell r="P1842" t="str">
            <v>PORO (PHI)</v>
          </cell>
        </row>
        <row r="1843">
          <cell r="P1843" t="str">
            <v>PORPOISE HARBOUR</v>
          </cell>
        </row>
        <row r="1844">
          <cell r="P1844" t="str">
            <v>PORSGRUNN</v>
          </cell>
        </row>
        <row r="1845">
          <cell r="P1845" t="str">
            <v>PORT ALBERNI</v>
          </cell>
        </row>
        <row r="1846">
          <cell r="P1846" t="str">
            <v>PORT ALFRED</v>
          </cell>
        </row>
        <row r="1847">
          <cell r="P1847" t="str">
            <v>PORT ALICE</v>
          </cell>
        </row>
        <row r="1848">
          <cell r="P1848" t="str">
            <v>PORT ALMA</v>
          </cell>
        </row>
        <row r="1849">
          <cell r="P1849" t="str">
            <v>PORT ANGELES</v>
          </cell>
        </row>
        <row r="1850">
          <cell r="P1850" t="str">
            <v>PORT ARANSAS</v>
          </cell>
        </row>
        <row r="1851">
          <cell r="P1851" t="str">
            <v>PORT ARTHUR (CANADA)</v>
          </cell>
        </row>
        <row r="1852">
          <cell r="P1852" t="str">
            <v>PORT ARTHUR (LUSHUN)</v>
          </cell>
        </row>
        <row r="1853">
          <cell r="P1853" t="str">
            <v>PORT ARTHUR (USA)</v>
          </cell>
        </row>
        <row r="1854">
          <cell r="P1854" t="str">
            <v>PORT AU PORT</v>
          </cell>
        </row>
        <row r="1855">
          <cell r="P1855" t="str">
            <v>PORT AU PRINCE</v>
          </cell>
        </row>
        <row r="1856">
          <cell r="P1856" t="str">
            <v>PORT AUGUSTA</v>
          </cell>
        </row>
        <row r="1857">
          <cell r="P1857" t="str">
            <v>PORT AUGUSTA (AUS)</v>
          </cell>
        </row>
        <row r="1858">
          <cell r="P1858" t="str">
            <v>PORT AUX BASQUES</v>
          </cell>
        </row>
        <row r="1859">
          <cell r="P1859" t="str">
            <v>PORT BLAIR</v>
          </cell>
        </row>
        <row r="1860">
          <cell r="P1860" t="str">
            <v>PORT BOTANY</v>
          </cell>
        </row>
        <row r="1861">
          <cell r="P1861" t="str">
            <v>PORT CANAVERAL</v>
          </cell>
        </row>
        <row r="1862">
          <cell r="P1862" t="str">
            <v>PORT CARTIER</v>
          </cell>
        </row>
        <row r="1863">
          <cell r="P1863" t="str">
            <v>PORT CHALMERS</v>
          </cell>
        </row>
        <row r="1864">
          <cell r="P1864" t="str">
            <v>PORT COLBORNE</v>
          </cell>
        </row>
        <row r="1865">
          <cell r="P1865" t="str">
            <v>PORT COMFORT</v>
          </cell>
        </row>
        <row r="1866">
          <cell r="P1866" t="str">
            <v>PORT DALRYMPLE</v>
          </cell>
        </row>
        <row r="1867">
          <cell r="P1867" t="str">
            <v>PORT DE BOUC</v>
          </cell>
        </row>
        <row r="1868">
          <cell r="P1868" t="str">
            <v>PORT DICKSON</v>
          </cell>
        </row>
        <row r="1869">
          <cell r="P1869" t="str">
            <v>PORT EDWARD</v>
          </cell>
        </row>
        <row r="1870">
          <cell r="P1870" t="str">
            <v>PORT ELIZABETH</v>
          </cell>
        </row>
        <row r="1871">
          <cell r="P1871" t="str">
            <v>PORT ESQUIVEL</v>
          </cell>
        </row>
        <row r="1872">
          <cell r="P1872" t="str">
            <v>PORT EVERGLADES</v>
          </cell>
        </row>
        <row r="1873">
          <cell r="P1873" t="str">
            <v>PORT GENTIL</v>
          </cell>
        </row>
        <row r="1874">
          <cell r="P1874" t="str">
            <v>PORT GILES</v>
          </cell>
        </row>
        <row r="1875">
          <cell r="P1875" t="str">
            <v>PORT HARCOURT</v>
          </cell>
        </row>
        <row r="1876">
          <cell r="P1876" t="str">
            <v>PORT HAWKESBURY</v>
          </cell>
        </row>
        <row r="1877">
          <cell r="P1877" t="str">
            <v>PORT HEDLAND</v>
          </cell>
        </row>
        <row r="1878">
          <cell r="P1878" t="str">
            <v>PORT HURON</v>
          </cell>
        </row>
        <row r="1879">
          <cell r="P1879" t="str">
            <v>PORT ISABEL</v>
          </cell>
        </row>
        <row r="1880">
          <cell r="P1880" t="str">
            <v>PORT JEFFERSON</v>
          </cell>
        </row>
        <row r="1881">
          <cell r="P1881" t="str">
            <v>PORT JEROME</v>
          </cell>
        </row>
        <row r="1882">
          <cell r="P1882" t="str">
            <v>PORT KAISER</v>
          </cell>
        </row>
        <row r="1883">
          <cell r="P1883" t="str">
            <v>PORT KELANG</v>
          </cell>
        </row>
        <row r="1884">
          <cell r="P1884" t="str">
            <v>PORT KEMBLA</v>
          </cell>
        </row>
        <row r="1885">
          <cell r="P1885" t="str">
            <v>PORT KLANG</v>
          </cell>
        </row>
        <row r="1886">
          <cell r="P1886" t="str">
            <v>PORT LA NOUVELLE</v>
          </cell>
        </row>
        <row r="1887">
          <cell r="P1887" t="str">
            <v>PORT LAKI</v>
          </cell>
        </row>
        <row r="1888">
          <cell r="P1888" t="str">
            <v>PORT LATTA</v>
          </cell>
        </row>
        <row r="1889">
          <cell r="P1889" t="str">
            <v>PORT LIMON</v>
          </cell>
        </row>
        <row r="1890">
          <cell r="P1890" t="str">
            <v>PORT LINCOLN</v>
          </cell>
        </row>
        <row r="1891">
          <cell r="P1891" t="str">
            <v>PORT LOUIS</v>
          </cell>
        </row>
        <row r="1892">
          <cell r="P1892" t="str">
            <v>PORT MADRYN</v>
          </cell>
        </row>
        <row r="1893">
          <cell r="P1893" t="str">
            <v>PORT MAHON</v>
          </cell>
        </row>
        <row r="1894">
          <cell r="P1894" t="str">
            <v>PORT MAITLAND</v>
          </cell>
        </row>
        <row r="1895">
          <cell r="P1895" t="str">
            <v>PORT MANATEE</v>
          </cell>
        </row>
        <row r="1896">
          <cell r="P1896" t="str">
            <v>PORT MANTEE</v>
          </cell>
        </row>
        <row r="1897">
          <cell r="P1897" t="str">
            <v>PORT MATARANI</v>
          </cell>
        </row>
        <row r="1898">
          <cell r="P1898" t="str">
            <v>PORT MELLON</v>
          </cell>
        </row>
        <row r="1899">
          <cell r="P1899" t="str">
            <v>PORT MOODY</v>
          </cell>
        </row>
        <row r="1900">
          <cell r="P1900" t="str">
            <v>PORT MORESBY</v>
          </cell>
        </row>
        <row r="1901">
          <cell r="P1901" t="str">
            <v>PORT NADOR</v>
          </cell>
        </row>
        <row r="1902">
          <cell r="P1902" t="str">
            <v>PORT NECHES</v>
          </cell>
        </row>
        <row r="1903">
          <cell r="P1903" t="str">
            <v>PORT OF SPAIN</v>
          </cell>
        </row>
        <row r="1904">
          <cell r="P1904" t="str">
            <v>PORT OKHA</v>
          </cell>
        </row>
        <row r="1905">
          <cell r="P1905" t="str">
            <v>PORT PIRIE</v>
          </cell>
        </row>
        <row r="1906">
          <cell r="P1906" t="str">
            <v>PORT QASIM</v>
          </cell>
        </row>
        <row r="1907">
          <cell r="P1907" t="str">
            <v>PORT READING</v>
          </cell>
        </row>
        <row r="1908">
          <cell r="P1908" t="str">
            <v>PORT RHOADES</v>
          </cell>
        </row>
        <row r="1909">
          <cell r="P1909" t="str">
            <v>PORT ROYAL</v>
          </cell>
        </row>
        <row r="1910">
          <cell r="P1910" t="str">
            <v>PORT SAID</v>
          </cell>
        </row>
        <row r="1911">
          <cell r="P1911" t="str">
            <v>PORT SAN LUIS</v>
          </cell>
        </row>
        <row r="1912">
          <cell r="P1912" t="str">
            <v>PORT SLADE</v>
          </cell>
        </row>
        <row r="1913">
          <cell r="P1913" t="str">
            <v>PORT ST. JOE</v>
          </cell>
        </row>
        <row r="1914">
          <cell r="P1914" t="str">
            <v>PORT STANLEY (CAN)</v>
          </cell>
        </row>
        <row r="1915">
          <cell r="P1915" t="str">
            <v>PORT STANLEY (FAL)</v>
          </cell>
        </row>
        <row r="1916">
          <cell r="P1916" t="str">
            <v>PORT STANVAC</v>
          </cell>
        </row>
        <row r="1917">
          <cell r="P1917" t="str">
            <v>PORT SUDAN</v>
          </cell>
        </row>
        <row r="1918">
          <cell r="P1918" t="str">
            <v>PORT SUNLIGHT</v>
          </cell>
        </row>
        <row r="1919">
          <cell r="P1919" t="str">
            <v>PORT SWETTENHAM</v>
          </cell>
        </row>
        <row r="1920">
          <cell r="P1920" t="str">
            <v>PORT TALBOT</v>
          </cell>
        </row>
        <row r="1921">
          <cell r="P1921" t="str">
            <v>PORT TAMPA</v>
          </cell>
        </row>
        <row r="1922">
          <cell r="P1922" t="str">
            <v>PORT TOWNSEND</v>
          </cell>
        </row>
        <row r="1923">
          <cell r="P1923" t="str">
            <v>PORT VICTORIA</v>
          </cell>
        </row>
        <row r="1924">
          <cell r="P1924" t="str">
            <v>PORT WALCOTT</v>
          </cell>
        </row>
        <row r="1925">
          <cell r="P1925" t="str">
            <v>PORTBURY</v>
          </cell>
        </row>
        <row r="1926">
          <cell r="P1926" t="str">
            <v>PORTEL, BRAZIL</v>
          </cell>
        </row>
        <row r="1927">
          <cell r="P1927" t="str">
            <v>PORTICI</v>
          </cell>
        </row>
        <row r="1928">
          <cell r="P1928" t="str">
            <v>PORTISHEAD</v>
          </cell>
        </row>
        <row r="1929">
          <cell r="P1929" t="str">
            <v>PORTLAND (AUS)</v>
          </cell>
        </row>
        <row r="1930">
          <cell r="P1930" t="str">
            <v>PORTLAND (UKE)</v>
          </cell>
        </row>
        <row r="1931">
          <cell r="P1931" t="str">
            <v>PORTLAND (USA-ME)</v>
          </cell>
        </row>
        <row r="1932">
          <cell r="P1932" t="str">
            <v>PORTLAND (USA-OR)</v>
          </cell>
        </row>
        <row r="1933">
          <cell r="P1933" t="str">
            <v>PORTO</v>
          </cell>
        </row>
        <row r="1934">
          <cell r="P1934" t="str">
            <v>PORTO ALEGRE</v>
          </cell>
        </row>
        <row r="1935">
          <cell r="P1935" t="str">
            <v>PORTO AMELIA</v>
          </cell>
        </row>
        <row r="1936">
          <cell r="P1936" t="str">
            <v>PORTO CORSINI</v>
          </cell>
        </row>
        <row r="1937">
          <cell r="P1937" t="str">
            <v>PORTO EMPEDOCLE</v>
          </cell>
        </row>
        <row r="1938">
          <cell r="P1938" t="str">
            <v>PORTO FOXI</v>
          </cell>
        </row>
        <row r="1939">
          <cell r="P1939" t="str">
            <v>PORTO GRANDE</v>
          </cell>
        </row>
        <row r="1940">
          <cell r="P1940" t="str">
            <v>PORTO LAGO</v>
          </cell>
        </row>
        <row r="1941">
          <cell r="P1941" t="str">
            <v>PORTO MARGHERA</v>
          </cell>
        </row>
        <row r="1942">
          <cell r="P1942" t="str">
            <v>PORTO NOVO</v>
          </cell>
        </row>
        <row r="1943">
          <cell r="P1943" t="str">
            <v>PORTO SANTO STEFANO</v>
          </cell>
        </row>
        <row r="1944">
          <cell r="P1944" t="str">
            <v>PORTO TORRES</v>
          </cell>
        </row>
        <row r="1945">
          <cell r="P1945" t="str">
            <v>PORTO VESME</v>
          </cell>
        </row>
        <row r="1946">
          <cell r="P1946" t="str">
            <v>PORTREE</v>
          </cell>
        </row>
        <row r="1947">
          <cell r="P1947" t="str">
            <v>PORTSMOUTH (UKE)</v>
          </cell>
        </row>
        <row r="1948">
          <cell r="P1948" t="str">
            <v>PORTSMOUTH (USA)</v>
          </cell>
        </row>
        <row r="1949">
          <cell r="P1949" t="str">
            <v>PORVOO</v>
          </cell>
        </row>
        <row r="1950">
          <cell r="P1950" t="str">
            <v>POTI</v>
          </cell>
        </row>
        <row r="1951">
          <cell r="P1951" t="str">
            <v>POWELL RIVER</v>
          </cell>
        </row>
        <row r="1952">
          <cell r="P1952" t="str">
            <v>POZOS COLORADOS</v>
          </cell>
        </row>
        <row r="1953">
          <cell r="P1953" t="str">
            <v>POZZUOLI</v>
          </cell>
        </row>
        <row r="1954">
          <cell r="P1954" t="str">
            <v>PRAI</v>
          </cell>
        </row>
        <row r="1955">
          <cell r="P1955" t="str">
            <v>PRAIA DA VITORIA</v>
          </cell>
        </row>
        <row r="1956">
          <cell r="P1956" t="str">
            <v>PRAIA MOLE</v>
          </cell>
        </row>
        <row r="1957">
          <cell r="P1957" t="str">
            <v>PRESTON</v>
          </cell>
        </row>
        <row r="1958">
          <cell r="P1958" t="str">
            <v>PREVEZA</v>
          </cell>
        </row>
        <row r="1959">
          <cell r="P1959" t="str">
            <v>PRIMORSK</v>
          </cell>
        </row>
        <row r="1960">
          <cell r="P1960" t="str">
            <v>PRINCE RUPERT</v>
          </cell>
        </row>
        <row r="1961">
          <cell r="P1961" t="str">
            <v>PRINCIPE</v>
          </cell>
        </row>
        <row r="1962">
          <cell r="P1962" t="str">
            <v>PRINCIPE ISLAND</v>
          </cell>
        </row>
        <row r="1963">
          <cell r="P1963" t="str">
            <v>PRIOLO</v>
          </cell>
        </row>
        <row r="1964">
          <cell r="P1964" t="str">
            <v>PROBOLINGGO</v>
          </cell>
        </row>
        <row r="1965">
          <cell r="P1965" t="str">
            <v>PROGRESO</v>
          </cell>
        </row>
        <row r="1966">
          <cell r="P1966" t="str">
            <v>PRONY</v>
          </cell>
        </row>
        <row r="1967">
          <cell r="P1967" t="str">
            <v>PROVIDENCE</v>
          </cell>
        </row>
        <row r="1968">
          <cell r="P1968" t="str">
            <v>PUERTO ACEVEDO</v>
          </cell>
        </row>
        <row r="1969">
          <cell r="P1969" t="str">
            <v>PUERTO ALMIRANTE</v>
          </cell>
        </row>
        <row r="1970">
          <cell r="P1970" t="str">
            <v>PUERTO BARRIOS</v>
          </cell>
        </row>
        <row r="1971">
          <cell r="P1971" t="str">
            <v>PUERTO BAYOVAR</v>
          </cell>
        </row>
        <row r="1972">
          <cell r="P1972" t="str">
            <v>PUERTO BOLIVAR</v>
          </cell>
        </row>
        <row r="1973">
          <cell r="P1973" t="str">
            <v>PUERTO CABELLO</v>
          </cell>
        </row>
        <row r="1974">
          <cell r="P1974" t="str">
            <v>PUERTO CASTILLA</v>
          </cell>
        </row>
        <row r="1975">
          <cell r="P1975" t="str">
            <v>PUERTO CORTES</v>
          </cell>
        </row>
        <row r="1976">
          <cell r="P1976" t="str">
            <v>PUERTO CUMARIBO</v>
          </cell>
        </row>
        <row r="1977">
          <cell r="P1977" t="str">
            <v>PUERTO IBICUY</v>
          </cell>
        </row>
        <row r="1978">
          <cell r="P1978" t="str">
            <v>PUERTO JOSE, VENEZUELA</v>
          </cell>
        </row>
        <row r="1979">
          <cell r="P1979" t="str">
            <v>PUERTO LA CRUZ</v>
          </cell>
        </row>
        <row r="1980">
          <cell r="P1980" t="str">
            <v>PUERTO LIMON</v>
          </cell>
        </row>
        <row r="1981">
          <cell r="P1981" t="str">
            <v>PUERTO MADRYN</v>
          </cell>
        </row>
        <row r="1982">
          <cell r="P1982" t="str">
            <v>PUERTO MEXICO</v>
          </cell>
        </row>
        <row r="1983">
          <cell r="P1983" t="str">
            <v>PUERTO MIRANDA</v>
          </cell>
        </row>
        <row r="1984">
          <cell r="P1984" t="str">
            <v>PUERTO MOIN</v>
          </cell>
        </row>
        <row r="1985">
          <cell r="P1985" t="str">
            <v>PUERTO MONTT</v>
          </cell>
        </row>
        <row r="1986">
          <cell r="P1986" t="str">
            <v>PUERTO ORDAZ</v>
          </cell>
        </row>
        <row r="1987">
          <cell r="P1987" t="str">
            <v>PUERTO PADRE</v>
          </cell>
        </row>
        <row r="1988">
          <cell r="P1988" t="str">
            <v>PUERTO PLATA</v>
          </cell>
        </row>
        <row r="1989">
          <cell r="P1989" t="str">
            <v>PUERTO PRODECO</v>
          </cell>
        </row>
        <row r="1990">
          <cell r="P1990" t="str">
            <v>PUERTO QUETZAL</v>
          </cell>
        </row>
        <row r="1991">
          <cell r="P1991" t="str">
            <v>PUERTO SANDINO</v>
          </cell>
        </row>
        <row r="1992">
          <cell r="P1992" t="str">
            <v>PUERTO SOMOZA</v>
          </cell>
        </row>
        <row r="1993">
          <cell r="P1993" t="str">
            <v>PUERTO SUCRE</v>
          </cell>
        </row>
        <row r="1994">
          <cell r="P1994" t="str">
            <v>PUERTO ZUNIGA, COLOMBIA</v>
          </cell>
        </row>
        <row r="1995">
          <cell r="P1995" t="str">
            <v>PUKET</v>
          </cell>
        </row>
        <row r="1996">
          <cell r="P1996" t="str">
            <v>PULA</v>
          </cell>
        </row>
        <row r="1997">
          <cell r="P1997" t="str">
            <v>PULAU BUKOM</v>
          </cell>
        </row>
        <row r="1998">
          <cell r="P1998" t="str">
            <v>PULAU BUNYU</v>
          </cell>
        </row>
        <row r="1999">
          <cell r="P1999" t="str">
            <v>PULAU LANGKAWI</v>
          </cell>
        </row>
        <row r="2000">
          <cell r="P2000" t="str">
            <v>PULAU SAMBU</v>
          </cell>
        </row>
        <row r="2001">
          <cell r="P2001" t="str">
            <v>PULAU SEBAROK</v>
          </cell>
        </row>
        <row r="2002">
          <cell r="P2002" t="str">
            <v>PUNTA ARENAS</v>
          </cell>
        </row>
        <row r="2003">
          <cell r="P2003" t="str">
            <v>PUNTA CAMACHO</v>
          </cell>
        </row>
        <row r="2004">
          <cell r="P2004" t="str">
            <v>PUNTA CARDON</v>
          </cell>
        </row>
        <row r="2005">
          <cell r="P2005" t="str">
            <v>PUNTA DEL ESTE</v>
          </cell>
        </row>
        <row r="2006">
          <cell r="P2006" t="str">
            <v>PUNTA MORALES</v>
          </cell>
        </row>
        <row r="2007">
          <cell r="P2007" t="str">
            <v>PUNTA PALENQUE</v>
          </cell>
        </row>
        <row r="2008">
          <cell r="P2008" t="str">
            <v>PUNTA PALMAS</v>
          </cell>
        </row>
        <row r="2009">
          <cell r="P2009" t="str">
            <v>PUNTA PATACHE</v>
          </cell>
        </row>
        <row r="2010">
          <cell r="P2010" t="str">
            <v>PUNTARENAS</v>
          </cell>
        </row>
        <row r="2011">
          <cell r="P2011" t="str">
            <v>PURFLEET</v>
          </cell>
        </row>
        <row r="2012">
          <cell r="P2012" t="str">
            <v>PUSAN</v>
          </cell>
        </row>
        <row r="2013">
          <cell r="P2013" t="str">
            <v>PYEONGTAEK</v>
          </cell>
        </row>
        <row r="2014">
          <cell r="P2014" t="str">
            <v>PYLOS</v>
          </cell>
        </row>
        <row r="2015">
          <cell r="P2015" t="str">
            <v>PYONGTAEK</v>
          </cell>
        </row>
        <row r="2016">
          <cell r="P2016" t="str">
            <v>QINGDAO</v>
          </cell>
        </row>
        <row r="2017">
          <cell r="P2017" t="str">
            <v>QINHUANGDAO</v>
          </cell>
        </row>
        <row r="2018">
          <cell r="P2018" t="str">
            <v>QUA IBOE TERMINAL</v>
          </cell>
        </row>
        <row r="2019">
          <cell r="P2019" t="str">
            <v>QUE OBOE TERMINAL</v>
          </cell>
        </row>
        <row r="2020">
          <cell r="P2020" t="str">
            <v>QUEBEC</v>
          </cell>
        </row>
        <row r="2021">
          <cell r="P2021" t="str">
            <v>QUELIMANE</v>
          </cell>
        </row>
        <row r="2022">
          <cell r="P2022" t="str">
            <v>QUEPOS</v>
          </cell>
        </row>
        <row r="2023">
          <cell r="P2023" t="str">
            <v>QUILLEBEUF</v>
          </cell>
        </row>
        <row r="2024">
          <cell r="P2024" t="str">
            <v>QUIMPER</v>
          </cell>
        </row>
        <row r="2025">
          <cell r="P2025" t="str">
            <v>QUINCY</v>
          </cell>
        </row>
        <row r="2026">
          <cell r="P2026" t="str">
            <v>QUINTERO</v>
          </cell>
        </row>
        <row r="2027">
          <cell r="P2027" t="str">
            <v>QUOIN ISLAND</v>
          </cell>
        </row>
        <row r="2028">
          <cell r="P2028" t="str">
            <v>QUOINS</v>
          </cell>
        </row>
        <row r="2029">
          <cell r="P2029" t="str">
            <v>QUSEIR</v>
          </cell>
        </row>
        <row r="2030">
          <cell r="P2030" t="str">
            <v>RAAHE</v>
          </cell>
        </row>
        <row r="2031">
          <cell r="P2031" t="str">
            <v>RABAT</v>
          </cell>
        </row>
        <row r="2032">
          <cell r="P2032" t="str">
            <v>RABAUL</v>
          </cell>
        </row>
        <row r="2033">
          <cell r="P2033" t="str">
            <v>RABIGH</v>
          </cell>
        </row>
        <row r="2034">
          <cell r="P2034" t="str">
            <v>RAFNES</v>
          </cell>
        </row>
        <row r="2035">
          <cell r="P2035" t="str">
            <v>RAMELTON</v>
          </cell>
        </row>
        <row r="2036">
          <cell r="P2036" t="str">
            <v>RAMFJORDNES</v>
          </cell>
        </row>
        <row r="2037">
          <cell r="P2037" t="str">
            <v>RAMSUND</v>
          </cell>
        </row>
        <row r="2038">
          <cell r="P2038" t="str">
            <v>RANDERS</v>
          </cell>
        </row>
        <row r="2039">
          <cell r="P2039" t="str">
            <v>RANGOON</v>
          </cell>
        </row>
        <row r="2040">
          <cell r="P2040" t="str">
            <v>RAS AL KHAFJI</v>
          </cell>
        </row>
        <row r="2041">
          <cell r="P2041" t="str">
            <v>RAS AL KHAIMAH</v>
          </cell>
        </row>
        <row r="2042">
          <cell r="P2042" t="str">
            <v>RAS BAHREGAN</v>
          </cell>
        </row>
        <row r="2043">
          <cell r="P2043" t="str">
            <v>RAS BAHRGAN</v>
          </cell>
        </row>
        <row r="2044">
          <cell r="P2044" t="str">
            <v>RAS BUDRAN</v>
          </cell>
        </row>
        <row r="2045">
          <cell r="P2045" t="str">
            <v>RAS DUBAYYAH</v>
          </cell>
        </row>
        <row r="2046">
          <cell r="P2046" t="str">
            <v>RAS GHARIB</v>
          </cell>
        </row>
        <row r="2047">
          <cell r="P2047" t="str">
            <v>RAS ISA</v>
          </cell>
        </row>
        <row r="2048">
          <cell r="P2048" t="str">
            <v>RAS LANUF</v>
          </cell>
        </row>
        <row r="2049">
          <cell r="P2049" t="str">
            <v>RAS SHUKHEIR</v>
          </cell>
        </row>
        <row r="2050">
          <cell r="P2050" t="str">
            <v>RAS SUDR</v>
          </cell>
        </row>
        <row r="2051">
          <cell r="P2051" t="str">
            <v>RAS TANURA</v>
          </cell>
        </row>
        <row r="2052">
          <cell r="P2052" t="str">
            <v>RAS ZUBBAYA</v>
          </cell>
        </row>
        <row r="2053">
          <cell r="P2053" t="str">
            <v>RASTA</v>
          </cell>
        </row>
        <row r="2054">
          <cell r="P2054" t="str">
            <v>RATNAGIRI</v>
          </cell>
        </row>
        <row r="2055">
          <cell r="P2055" t="str">
            <v>RAUFARHOFN</v>
          </cell>
        </row>
        <row r="2056">
          <cell r="P2056" t="str">
            <v>RAUMA</v>
          </cell>
        </row>
        <row r="2057">
          <cell r="P2057" t="str">
            <v>RAUMO</v>
          </cell>
        </row>
        <row r="2058">
          <cell r="P2058" t="str">
            <v>RAVENNA</v>
          </cell>
        </row>
        <row r="2059">
          <cell r="P2059" t="str">
            <v>RAVENSBOURNE</v>
          </cell>
        </row>
        <row r="2060">
          <cell r="P2060" t="str">
            <v>RAYONG</v>
          </cell>
        </row>
        <row r="2061">
          <cell r="P2061" t="str">
            <v>RECIFE</v>
          </cell>
        </row>
        <row r="2062">
          <cell r="P2062" t="str">
            <v>RED BEACH</v>
          </cell>
        </row>
        <row r="2063">
          <cell r="P2063" t="str">
            <v>REDCAR</v>
          </cell>
        </row>
        <row r="2064">
          <cell r="P2064" t="str">
            <v>REDCLIFFE BAY</v>
          </cell>
        </row>
        <row r="2065">
          <cell r="P2065" t="str">
            <v>REDI</v>
          </cell>
        </row>
        <row r="2066">
          <cell r="P2066" t="str">
            <v>REDWOOD</v>
          </cell>
        </row>
        <row r="2067">
          <cell r="P2067" t="str">
            <v>REEDHAM, UK - ENGLAND</v>
          </cell>
        </row>
        <row r="2068">
          <cell r="P2068" t="str">
            <v>REGGIO</v>
          </cell>
        </row>
        <row r="2069">
          <cell r="P2069" t="str">
            <v>REGGIO CALABRIA</v>
          </cell>
        </row>
        <row r="2070">
          <cell r="P2070" t="str">
            <v>REKEFJORD</v>
          </cell>
        </row>
        <row r="2071">
          <cell r="P2071" t="str">
            <v>REMBANG</v>
          </cell>
        </row>
        <row r="2072">
          <cell r="P2072" t="str">
            <v>REMPO</v>
          </cell>
        </row>
        <row r="2073">
          <cell r="P2073" t="str">
            <v>RENI</v>
          </cell>
        </row>
        <row r="2074">
          <cell r="P2074" t="str">
            <v>RENSSELAER</v>
          </cell>
        </row>
        <row r="2075">
          <cell r="P2075" t="str">
            <v>REVADANDA</v>
          </cell>
        </row>
        <row r="2076">
          <cell r="P2076" t="str">
            <v>REVERE</v>
          </cell>
        </row>
        <row r="2077">
          <cell r="P2077" t="str">
            <v>REYKJAVIK</v>
          </cell>
        </row>
        <row r="2078">
          <cell r="P2078" t="str">
            <v>RHODES</v>
          </cell>
        </row>
        <row r="2079">
          <cell r="P2079" t="str">
            <v>RICHARDS BAY</v>
          </cell>
        </row>
        <row r="2080">
          <cell r="P2080" t="str">
            <v>RICHMOND</v>
          </cell>
        </row>
        <row r="2081">
          <cell r="P2081" t="str">
            <v>RICHMOND (USA)</v>
          </cell>
        </row>
        <row r="2082">
          <cell r="P2082" t="str">
            <v>RIGA</v>
          </cell>
        </row>
        <row r="2083">
          <cell r="P2083" t="str">
            <v>RIJEKA</v>
          </cell>
        </row>
        <row r="2084">
          <cell r="P2084" t="str">
            <v>RIMOUSKI</v>
          </cell>
        </row>
        <row r="2085">
          <cell r="P2085" t="str">
            <v>RIO DE JANEIRO</v>
          </cell>
        </row>
        <row r="2086">
          <cell r="P2086" t="str">
            <v>RIO GALLEGOS</v>
          </cell>
        </row>
        <row r="2087">
          <cell r="P2087" t="str">
            <v>RIO GRANDE</v>
          </cell>
        </row>
        <row r="2088">
          <cell r="P2088" t="str">
            <v>RIO HAINA</v>
          </cell>
        </row>
        <row r="2089">
          <cell r="P2089" t="str">
            <v>RISDON</v>
          </cell>
        </row>
        <row r="2090">
          <cell r="P2090" t="str">
            <v>RIVER BLACKWATER</v>
          </cell>
        </row>
        <row r="2091">
          <cell r="P2091" t="str">
            <v>RIVERHEAD</v>
          </cell>
        </row>
        <row r="2092">
          <cell r="P2092" t="str">
            <v>RIZE</v>
          </cell>
        </row>
        <row r="2093">
          <cell r="P2093" t="str">
            <v>RIZHAO</v>
          </cell>
        </row>
        <row r="2094">
          <cell r="P2094" t="str">
            <v>ROBERTS BANK</v>
          </cell>
        </row>
        <row r="2095">
          <cell r="P2095" t="str">
            <v>ROCHEFORT</v>
          </cell>
        </row>
        <row r="2096">
          <cell r="P2096" t="str">
            <v>ROCHESTER</v>
          </cell>
        </row>
        <row r="2097">
          <cell r="P2097" t="str">
            <v>ROCKY POINT</v>
          </cell>
        </row>
        <row r="2098">
          <cell r="P2098" t="str">
            <v>RODRIGUES ISLAND</v>
          </cell>
        </row>
        <row r="2099">
          <cell r="P2099" t="str">
            <v>ROEBOURNE</v>
          </cell>
        </row>
        <row r="2100">
          <cell r="P2100" t="str">
            <v>RONNE</v>
          </cell>
        </row>
        <row r="2101">
          <cell r="P2101" t="str">
            <v>RONNEBY</v>
          </cell>
        </row>
        <row r="2102">
          <cell r="P2102" t="str">
            <v>RONNERYHAMN</v>
          </cell>
        </row>
        <row r="2103">
          <cell r="P2103" t="str">
            <v>RONNSKAR</v>
          </cell>
        </row>
        <row r="2104">
          <cell r="P2104" t="str">
            <v>RORVIK</v>
          </cell>
        </row>
        <row r="2105">
          <cell r="P2105" t="str">
            <v>ROSARIO</v>
          </cell>
        </row>
        <row r="2106">
          <cell r="P2106" t="str">
            <v>ROSARITA BEACH</v>
          </cell>
        </row>
        <row r="2107">
          <cell r="P2107" t="str">
            <v>ROSCOFF</v>
          </cell>
        </row>
        <row r="2108">
          <cell r="P2108" t="str">
            <v>ROSEAU</v>
          </cell>
        </row>
        <row r="2109">
          <cell r="P2109" t="str">
            <v>ROSSLARE</v>
          </cell>
        </row>
        <row r="2110">
          <cell r="P2110" t="str">
            <v>ROSTOCK</v>
          </cell>
        </row>
        <row r="2111">
          <cell r="P2111" t="str">
            <v>ROSTOV</v>
          </cell>
        </row>
        <row r="2112">
          <cell r="P2112" t="str">
            <v>ROSYTH</v>
          </cell>
        </row>
        <row r="2113">
          <cell r="P2113" t="str">
            <v>ROTA</v>
          </cell>
        </row>
        <row r="2114">
          <cell r="P2114" t="str">
            <v>ROTHESAY</v>
          </cell>
        </row>
        <row r="2115">
          <cell r="P2115" t="str">
            <v>ROTTERDAM</v>
          </cell>
        </row>
        <row r="2116">
          <cell r="P2116" t="str">
            <v>ROUEN</v>
          </cell>
        </row>
        <row r="2117">
          <cell r="P2117" t="str">
            <v>ROZENBURG</v>
          </cell>
        </row>
        <row r="2118">
          <cell r="P2118" t="str">
            <v>RUAD ISLAND</v>
          </cell>
        </row>
        <row r="2119">
          <cell r="P2119" t="str">
            <v>RUBICON VANTAGE</v>
          </cell>
        </row>
        <row r="2120">
          <cell r="P2120" t="str">
            <v>RUDKOBING</v>
          </cell>
        </row>
        <row r="2121">
          <cell r="P2121" t="str">
            <v>RUISBROEK</v>
          </cell>
        </row>
        <row r="2122">
          <cell r="P2122" t="str">
            <v>RUNCORN</v>
          </cell>
        </row>
        <row r="2123">
          <cell r="P2123" t="str">
            <v>RUNDVIK</v>
          </cell>
        </row>
        <row r="2124">
          <cell r="P2124" t="str">
            <v>RUWAIS</v>
          </cell>
        </row>
        <row r="2125">
          <cell r="P2125" t="str">
            <v>S.W. PASSAGE</v>
          </cell>
        </row>
        <row r="2126">
          <cell r="P2126" t="str">
            <v>SABANG</v>
          </cell>
        </row>
        <row r="2127">
          <cell r="P2127" t="str">
            <v>SABINE</v>
          </cell>
        </row>
        <row r="2128">
          <cell r="P2128" t="str">
            <v>SACRAMENTO</v>
          </cell>
        </row>
        <row r="2129">
          <cell r="P2129" t="str">
            <v>SAFAGA</v>
          </cell>
        </row>
        <row r="2130">
          <cell r="P2130" t="str">
            <v>SAFI</v>
          </cell>
        </row>
        <row r="2131">
          <cell r="P2131" t="str">
            <v>SAGANOSEKI</v>
          </cell>
        </row>
        <row r="2132">
          <cell r="P2132" t="str">
            <v>SAGUNTO</v>
          </cell>
        </row>
        <row r="2133">
          <cell r="P2133" t="str">
            <v>SAIGON</v>
          </cell>
        </row>
        <row r="2134">
          <cell r="P2134" t="str">
            <v>SAINT JOHN</v>
          </cell>
        </row>
        <row r="2135">
          <cell r="P2135" t="str">
            <v>SAINT NICHOLAS</v>
          </cell>
        </row>
        <row r="2136">
          <cell r="P2136" t="str">
            <v>SAIPAN</v>
          </cell>
        </row>
        <row r="2137">
          <cell r="P2137" t="str">
            <v>SAKAI</v>
          </cell>
        </row>
        <row r="2138">
          <cell r="P2138" t="str">
            <v>SAKAIDE</v>
          </cell>
        </row>
        <row r="2139">
          <cell r="P2139" t="str">
            <v>SAKAIMINATO</v>
          </cell>
        </row>
        <row r="2140">
          <cell r="P2140" t="str">
            <v>SAL ISLAND</v>
          </cell>
        </row>
        <row r="2141">
          <cell r="P2141" t="str">
            <v>SALALAH</v>
          </cell>
        </row>
        <row r="2142">
          <cell r="P2142" t="str">
            <v>SALAVERRY</v>
          </cell>
        </row>
        <row r="2143">
          <cell r="P2143" t="str">
            <v>SALDANHA BAY</v>
          </cell>
        </row>
        <row r="2144">
          <cell r="P2144" t="str">
            <v>SALEEF</v>
          </cell>
        </row>
        <row r="2145">
          <cell r="P2145" t="str">
            <v>SALEM</v>
          </cell>
        </row>
        <row r="2146">
          <cell r="P2146" t="str">
            <v>SALERNO</v>
          </cell>
        </row>
        <row r="2147">
          <cell r="P2147" t="str">
            <v>SALINA CRUZ</v>
          </cell>
        </row>
        <row r="2148">
          <cell r="P2148" t="str">
            <v>SALINAS</v>
          </cell>
        </row>
        <row r="2149">
          <cell r="P2149" t="str">
            <v>SALONA</v>
          </cell>
        </row>
        <row r="2150">
          <cell r="P2150" t="str">
            <v>SALONICA</v>
          </cell>
        </row>
        <row r="2151">
          <cell r="P2151" t="str">
            <v>SALTEND</v>
          </cell>
        </row>
        <row r="2152">
          <cell r="P2152" t="str">
            <v>SALVADOR (BAHIA)</v>
          </cell>
        </row>
        <row r="2153">
          <cell r="P2153" t="str">
            <v>SAMANA</v>
          </cell>
        </row>
        <row r="2154">
          <cell r="P2154" t="str">
            <v>SAMARINDA</v>
          </cell>
        </row>
        <row r="2155">
          <cell r="P2155" t="str">
            <v>SAMOS</v>
          </cell>
        </row>
        <row r="2156">
          <cell r="P2156" t="str">
            <v>SAMSUN</v>
          </cell>
        </row>
        <row r="2157">
          <cell r="P2157" t="str">
            <v>SAN ANTONIO</v>
          </cell>
        </row>
        <row r="2158">
          <cell r="P2158" t="str">
            <v>SAN CIPRIAN</v>
          </cell>
        </row>
        <row r="2159">
          <cell r="P2159" t="str">
            <v>SAN DIEGO</v>
          </cell>
        </row>
        <row r="2160">
          <cell r="P2160" t="str">
            <v>SAN FERNANDO (ARG)</v>
          </cell>
        </row>
        <row r="2161">
          <cell r="P2161" t="str">
            <v>SAN FERNANDO (PHI)</v>
          </cell>
        </row>
        <row r="2162">
          <cell r="P2162" t="str">
            <v>SAN FRANCISCO</v>
          </cell>
        </row>
        <row r="2163">
          <cell r="P2163" t="str">
            <v>SAN GREGORY</v>
          </cell>
        </row>
        <row r="2164">
          <cell r="P2164" t="str">
            <v>SAN JOSE</v>
          </cell>
        </row>
        <row r="2165">
          <cell r="P2165" t="str">
            <v>SAN JUAN (PER)</v>
          </cell>
        </row>
        <row r="2166">
          <cell r="P2166" t="str">
            <v>SAN JUAN (PUE)</v>
          </cell>
        </row>
        <row r="2167">
          <cell r="P2167" t="str">
            <v>SAN JUAN DE LA COSTA</v>
          </cell>
        </row>
        <row r="2168">
          <cell r="P2168" t="str">
            <v>SAN LORENZO (ARG)</v>
          </cell>
        </row>
        <row r="2169">
          <cell r="P2169" t="str">
            <v>SAN LORENZO (HON)</v>
          </cell>
        </row>
        <row r="2170">
          <cell r="P2170" t="str">
            <v>SAN LORENZO (VEN)</v>
          </cell>
        </row>
        <row r="2171">
          <cell r="P2171" t="str">
            <v>SAN MARCOS ISLAND</v>
          </cell>
        </row>
        <row r="2172">
          <cell r="P2172" t="str">
            <v>SAN MARTIN, ARGENTINA</v>
          </cell>
        </row>
        <row r="2173">
          <cell r="P2173" t="str">
            <v>SAN NICOLAS (ARG)</v>
          </cell>
        </row>
        <row r="2174">
          <cell r="P2174" t="str">
            <v>SAN NICOLAS (PER)</v>
          </cell>
        </row>
        <row r="2175">
          <cell r="P2175" t="str">
            <v>SAN PEDRO</v>
          </cell>
        </row>
        <row r="2176">
          <cell r="P2176" t="str">
            <v>SAN PEDRO (IVO)</v>
          </cell>
        </row>
        <row r="2177">
          <cell r="P2177" t="str">
            <v>SAN PEDRO DE MARCORI</v>
          </cell>
        </row>
        <row r="2178">
          <cell r="P2178" t="str">
            <v>SAN SEBASTIAN BAY</v>
          </cell>
        </row>
        <row r="2179">
          <cell r="P2179" t="str">
            <v>SAN VICENTE</v>
          </cell>
        </row>
        <row r="2180">
          <cell r="P2180" t="str">
            <v>SANDAKAN</v>
          </cell>
        </row>
        <row r="2181">
          <cell r="P2181" t="str">
            <v>SANDARNE</v>
          </cell>
        </row>
        <row r="2182">
          <cell r="P2182" t="str">
            <v>SANDEFJORD</v>
          </cell>
        </row>
        <row r="2183">
          <cell r="P2183" t="str">
            <v>SANDNESSJOEN</v>
          </cell>
        </row>
        <row r="2184">
          <cell r="P2184" t="str">
            <v>SANDVIKEN</v>
          </cell>
        </row>
        <row r="2185">
          <cell r="P2185" t="str">
            <v>SANDWICH</v>
          </cell>
        </row>
        <row r="2186">
          <cell r="P2186" t="str">
            <v>SANTA BARBARA</v>
          </cell>
        </row>
        <row r="2187">
          <cell r="P2187" t="str">
            <v>SANTA CLARA</v>
          </cell>
        </row>
        <row r="2188">
          <cell r="P2188" t="str">
            <v>SANTA FE</v>
          </cell>
        </row>
        <row r="2189">
          <cell r="P2189" t="str">
            <v>SANTA MARTA</v>
          </cell>
        </row>
        <row r="2190">
          <cell r="P2190" t="str">
            <v>SANTA PANAGIA</v>
          </cell>
        </row>
        <row r="2191">
          <cell r="P2191" t="str">
            <v>SANTA ROSALIA</v>
          </cell>
        </row>
        <row r="2192">
          <cell r="P2192" t="str">
            <v>SANTAN TERMINAL</v>
          </cell>
        </row>
        <row r="2193">
          <cell r="P2193" t="str">
            <v>SANTANA</v>
          </cell>
        </row>
        <row r="2194">
          <cell r="P2194" t="str">
            <v>SANTANDER</v>
          </cell>
        </row>
        <row r="2195">
          <cell r="P2195" t="str">
            <v>SANTIAGO</v>
          </cell>
        </row>
        <row r="2196">
          <cell r="P2196" t="str">
            <v>SANTIAGO DE CUBA</v>
          </cell>
        </row>
        <row r="2197">
          <cell r="P2197" t="str">
            <v>SANTO DOMINGO</v>
          </cell>
        </row>
        <row r="2198">
          <cell r="P2198" t="str">
            <v>SANTO TOMAS DE CASTILLA</v>
          </cell>
        </row>
        <row r="2199">
          <cell r="P2199" t="str">
            <v>SANTOS</v>
          </cell>
        </row>
        <row r="2200">
          <cell r="P2200" t="str">
            <v>SAO FRANCISCO DO SUL</v>
          </cell>
        </row>
        <row r="2201">
          <cell r="P2201" t="str">
            <v>SAO LUIZ</v>
          </cell>
        </row>
        <row r="2202">
          <cell r="P2202" t="str">
            <v>SAO LUIZ DE MARANH</v>
          </cell>
        </row>
        <row r="2203">
          <cell r="P2203" t="str">
            <v>SAO SEBASTIAO</v>
          </cell>
        </row>
        <row r="2204">
          <cell r="P2204" t="str">
            <v>SAO THOME</v>
          </cell>
        </row>
        <row r="2205">
          <cell r="P2205" t="str">
            <v>SAPELE</v>
          </cell>
        </row>
        <row r="2206">
          <cell r="P2206" t="str">
            <v>SARNIA</v>
          </cell>
        </row>
        <row r="2207">
          <cell r="P2207" t="str">
            <v>SARPSBORG</v>
          </cell>
        </row>
        <row r="2208">
          <cell r="P2208" t="str">
            <v>SARROCH</v>
          </cell>
        </row>
        <row r="2209">
          <cell r="P2209" t="str">
            <v>SASEBO</v>
          </cell>
        </row>
        <row r="2210">
          <cell r="P2210" t="str">
            <v>SASSNITZ</v>
          </cell>
        </row>
        <row r="2211">
          <cell r="P2211" t="str">
            <v>SATTAHIP</v>
          </cell>
        </row>
        <row r="2212">
          <cell r="P2212" t="str">
            <v>SAUDA</v>
          </cell>
        </row>
        <row r="2213">
          <cell r="P2213" t="str">
            <v>SAUGERTIES</v>
          </cell>
        </row>
        <row r="2214">
          <cell r="P2214" t="str">
            <v>SAVANILLA</v>
          </cell>
        </row>
        <row r="2215">
          <cell r="P2215" t="str">
            <v>SAVANNAH</v>
          </cell>
        </row>
        <row r="2216">
          <cell r="P2216" t="str">
            <v>SAVONA</v>
          </cell>
        </row>
        <row r="2217">
          <cell r="P2217" t="str">
            <v>SCAPA</v>
          </cell>
        </row>
        <row r="2218">
          <cell r="P2218" t="str">
            <v>SCHEVENINGEN</v>
          </cell>
        </row>
        <row r="2219">
          <cell r="P2219" t="str">
            <v>SCHIEDAM</v>
          </cell>
        </row>
        <row r="2220">
          <cell r="P2220" t="str">
            <v>SCORESBY SOUND</v>
          </cell>
        </row>
        <row r="2221">
          <cell r="P2221" t="str">
            <v>SEAFORTH</v>
          </cell>
        </row>
        <row r="2222">
          <cell r="P2222" t="str">
            <v>SEAHAM</v>
          </cell>
        </row>
        <row r="2223">
          <cell r="P2223" t="str">
            <v>SEAL SANDS, UK - ENGLAND</v>
          </cell>
        </row>
        <row r="2224">
          <cell r="P2224" t="str">
            <v>SEARSPORT</v>
          </cell>
        </row>
        <row r="2225">
          <cell r="P2225" t="str">
            <v>SEATTLE</v>
          </cell>
        </row>
        <row r="2226">
          <cell r="P2226" t="str">
            <v>SEBUKU TERMINAL, INDONESIA - KALIMANTAN</v>
          </cell>
        </row>
        <row r="2227">
          <cell r="P2227" t="str">
            <v>SEEADLER HARBOUR</v>
          </cell>
        </row>
        <row r="2228">
          <cell r="P2228" t="str">
            <v>SEKONDI</v>
          </cell>
        </row>
        <row r="2229">
          <cell r="P2229" t="str">
            <v>SELAT PANDJANG</v>
          </cell>
        </row>
        <row r="2230">
          <cell r="P2230" t="str">
            <v>SELETAR</v>
          </cell>
        </row>
        <row r="2231">
          <cell r="P2231" t="str">
            <v>SEMARANG</v>
          </cell>
        </row>
        <row r="2232">
          <cell r="P2232" t="str">
            <v>SEPETIBA BAY</v>
          </cell>
        </row>
        <row r="2233">
          <cell r="P2233" t="str">
            <v>SERIA</v>
          </cell>
        </row>
        <row r="2234">
          <cell r="P2234" t="str">
            <v>SETE</v>
          </cell>
        </row>
        <row r="2235">
          <cell r="P2235" t="str">
            <v>SETUBAL</v>
          </cell>
        </row>
        <row r="2236">
          <cell r="P2236" t="str">
            <v>SEVASTOPOL</v>
          </cell>
        </row>
        <row r="2237">
          <cell r="P2237" t="str">
            <v>SEVEN ISLANDS</v>
          </cell>
        </row>
        <row r="2238">
          <cell r="P2238" t="str">
            <v>SEVERODVINSK</v>
          </cell>
        </row>
        <row r="2239">
          <cell r="P2239" t="str">
            <v>SEVILLE</v>
          </cell>
        </row>
        <row r="2240">
          <cell r="P2240" t="str">
            <v>SEVIVARA POINT</v>
          </cell>
        </row>
        <row r="2241">
          <cell r="P2241" t="str">
            <v>SEWARD</v>
          </cell>
        </row>
        <row r="2242">
          <cell r="P2242" t="str">
            <v>SEWAREN</v>
          </cell>
        </row>
        <row r="2243">
          <cell r="P2243" t="str">
            <v>SEWELLS POINT</v>
          </cell>
        </row>
        <row r="2244">
          <cell r="P2244" t="str">
            <v>SEYDISFJORDUR</v>
          </cell>
        </row>
        <row r="2245">
          <cell r="P2245" t="str">
            <v>SFAX</v>
          </cell>
        </row>
        <row r="2246">
          <cell r="P2246" t="str">
            <v>SHA LUNG</v>
          </cell>
        </row>
        <row r="2247">
          <cell r="P2247" t="str">
            <v>SHANGHAI</v>
          </cell>
        </row>
        <row r="2248">
          <cell r="P2248" t="str">
            <v>SHANTOU</v>
          </cell>
        </row>
        <row r="2249">
          <cell r="P2249" t="str">
            <v>SHARJAH</v>
          </cell>
        </row>
        <row r="2250">
          <cell r="P2250" t="str">
            <v>SHARPNESS</v>
          </cell>
        </row>
        <row r="2251">
          <cell r="P2251" t="str">
            <v>SHEERNESS</v>
          </cell>
        </row>
        <row r="2252">
          <cell r="P2252" t="str">
            <v>SHEKOU</v>
          </cell>
        </row>
        <row r="2253">
          <cell r="P2253" t="str">
            <v>SHELBURNE</v>
          </cell>
        </row>
        <row r="2254">
          <cell r="P2254" t="str">
            <v>SHELLHAVEN</v>
          </cell>
        </row>
        <row r="2255">
          <cell r="P2255" t="str">
            <v>SHENZHEN</v>
          </cell>
        </row>
        <row r="2256">
          <cell r="P2256" t="str">
            <v>SHERBRO RIVER</v>
          </cell>
        </row>
        <row r="2257">
          <cell r="P2257" t="str">
            <v>SHIBUSHI</v>
          </cell>
        </row>
        <row r="2258">
          <cell r="P2258" t="str">
            <v>SHIKAMA</v>
          </cell>
        </row>
        <row r="2259">
          <cell r="P2259" t="str">
            <v>SHIMIZU</v>
          </cell>
        </row>
        <row r="2260">
          <cell r="P2260" t="str">
            <v>SHIMONOSEKI</v>
          </cell>
        </row>
        <row r="2261">
          <cell r="P2261" t="str">
            <v>SHOREHAM</v>
          </cell>
        </row>
        <row r="2262">
          <cell r="P2262" t="str">
            <v>SHUAIBA</v>
          </cell>
        </row>
        <row r="2263">
          <cell r="P2263" t="str">
            <v>SHUWAIKH</v>
          </cell>
        </row>
        <row r="2264">
          <cell r="P2264" t="str">
            <v>SIBENIK</v>
          </cell>
        </row>
        <row r="2265">
          <cell r="P2265" t="str">
            <v>SIBOLGA</v>
          </cell>
        </row>
        <row r="2266">
          <cell r="P2266" t="str">
            <v>SIBU</v>
          </cell>
        </row>
        <row r="2267">
          <cell r="P2267" t="str">
            <v>SIDI KERIR</v>
          </cell>
        </row>
        <row r="2268">
          <cell r="P2268" t="str">
            <v>SIDON</v>
          </cell>
        </row>
        <row r="2269">
          <cell r="P2269" t="str">
            <v>SIGLUFJORD</v>
          </cell>
        </row>
        <row r="2270">
          <cell r="P2270" t="str">
            <v>SIHANOUKVILLE</v>
          </cell>
        </row>
        <row r="2271">
          <cell r="P2271" t="str">
            <v>SIKKA</v>
          </cell>
        </row>
        <row r="2272">
          <cell r="P2272" t="str">
            <v>SILLAMAE</v>
          </cell>
        </row>
        <row r="2273">
          <cell r="P2273" t="str">
            <v>SILLOTH</v>
          </cell>
        </row>
        <row r="2274">
          <cell r="P2274" t="str">
            <v>SILVERTOWN</v>
          </cell>
        </row>
        <row r="2275">
          <cell r="P2275" t="str">
            <v>SIMONSTOWN</v>
          </cell>
        </row>
        <row r="2276">
          <cell r="P2276" t="str">
            <v>SINES</v>
          </cell>
        </row>
        <row r="2277">
          <cell r="P2277" t="str">
            <v>SINGAPORE</v>
          </cell>
        </row>
        <row r="2278">
          <cell r="P2278" t="str">
            <v>SINOP</v>
          </cell>
        </row>
        <row r="2279">
          <cell r="P2279" t="str">
            <v>SIRACUSA</v>
          </cell>
        </row>
        <row r="2280">
          <cell r="P2280" t="str">
            <v>SIRRI ISLAND</v>
          </cell>
        </row>
        <row r="2281">
          <cell r="P2281" t="str">
            <v>SIRTE</v>
          </cell>
        </row>
        <row r="2282">
          <cell r="P2282" t="str">
            <v>SITKA</v>
          </cell>
        </row>
        <row r="2283">
          <cell r="P2283" t="str">
            <v>SITRA</v>
          </cell>
        </row>
        <row r="2284">
          <cell r="P2284" t="str">
            <v>SITTWE</v>
          </cell>
        </row>
        <row r="2285">
          <cell r="P2285" t="str">
            <v>SKAERBAEK</v>
          </cell>
        </row>
        <row r="2286">
          <cell r="P2286" t="str">
            <v>SKAGWAY</v>
          </cell>
        </row>
        <row r="2287">
          <cell r="P2287" t="str">
            <v>SKARAMANGA</v>
          </cell>
        </row>
        <row r="2288">
          <cell r="P2288" t="str">
            <v>SKAW</v>
          </cell>
        </row>
        <row r="2289">
          <cell r="P2289" t="str">
            <v>SKELLEFTEA</v>
          </cell>
        </row>
        <row r="2290">
          <cell r="P2290" t="str">
            <v>SKELLEFTEHAMN</v>
          </cell>
        </row>
        <row r="2291">
          <cell r="P2291" t="str">
            <v>SKERJAFJORDUR</v>
          </cell>
        </row>
        <row r="2292">
          <cell r="P2292" t="str">
            <v>SKIDEGATE</v>
          </cell>
        </row>
        <row r="2293">
          <cell r="P2293" t="str">
            <v>SKIEN</v>
          </cell>
        </row>
        <row r="2294">
          <cell r="P2294" t="str">
            <v>SKIKDA</v>
          </cell>
        </row>
        <row r="2295">
          <cell r="P2295" t="str">
            <v>SKOGHALL</v>
          </cell>
        </row>
        <row r="2296">
          <cell r="P2296" t="str">
            <v>SKOGN</v>
          </cell>
        </row>
        <row r="2297">
          <cell r="P2297" t="str">
            <v>SKOLDVIK</v>
          </cell>
        </row>
        <row r="2298">
          <cell r="P2298" t="str">
            <v>SKREDSVIK</v>
          </cell>
        </row>
        <row r="2299">
          <cell r="P2299" t="str">
            <v>SLAGEN</v>
          </cell>
        </row>
        <row r="2300">
          <cell r="P2300" t="str">
            <v>SLAGENSTANGEN</v>
          </cell>
        </row>
        <row r="2301">
          <cell r="P2301" t="str">
            <v>SLEMMESTAD</v>
          </cell>
        </row>
        <row r="2302">
          <cell r="P2302" t="str">
            <v>SLIGO</v>
          </cell>
        </row>
        <row r="2303">
          <cell r="P2303" t="str">
            <v>SLITE</v>
          </cell>
        </row>
        <row r="2304">
          <cell r="P2304" t="str">
            <v>SLUISKIL</v>
          </cell>
        </row>
        <row r="2305">
          <cell r="P2305" t="str">
            <v>SMALKALDEN</v>
          </cell>
        </row>
        <row r="2306">
          <cell r="P2306" t="str">
            <v>SMITHS BLUFF</v>
          </cell>
        </row>
        <row r="2307">
          <cell r="P2307" t="str">
            <v>SODERHAMN</v>
          </cell>
        </row>
        <row r="2308">
          <cell r="P2308" t="str">
            <v>SODERTALJE</v>
          </cell>
        </row>
        <row r="2309">
          <cell r="P2309" t="str">
            <v>SOGNDAL</v>
          </cell>
        </row>
        <row r="2310">
          <cell r="P2310" t="str">
            <v>SOLA</v>
          </cell>
        </row>
        <row r="2311">
          <cell r="P2311" t="str">
            <v>SOLENZARA</v>
          </cell>
        </row>
        <row r="2312">
          <cell r="P2312" t="str">
            <v>SOLIN</v>
          </cell>
        </row>
        <row r="2313">
          <cell r="P2313" t="str">
            <v>SOLMUNDEFJORD</v>
          </cell>
        </row>
        <row r="2314">
          <cell r="P2314" t="str">
            <v>SOLVESBORG</v>
          </cell>
        </row>
        <row r="2315">
          <cell r="P2315" t="str">
            <v>SOMBRERO ISLAND</v>
          </cell>
        </row>
        <row r="2316">
          <cell r="P2316" t="str">
            <v>SONDRE STROMFJORD</v>
          </cell>
        </row>
        <row r="2317">
          <cell r="P2317" t="str">
            <v>SONGKHLA</v>
          </cell>
        </row>
        <row r="2318">
          <cell r="P2318" t="str">
            <v>SOREL</v>
          </cell>
        </row>
        <row r="2319">
          <cell r="P2319" t="str">
            <v>SORONG</v>
          </cell>
        </row>
        <row r="2320">
          <cell r="P2320" t="str">
            <v>SOROOSH TERMINAL, IRAN</v>
          </cell>
        </row>
        <row r="2321">
          <cell r="P2321" t="str">
            <v>SORREL</v>
          </cell>
        </row>
        <row r="2322">
          <cell r="P2322" t="str">
            <v>SORTLAND</v>
          </cell>
        </row>
        <row r="2323">
          <cell r="P2323" t="str">
            <v>SORVAAG</v>
          </cell>
        </row>
        <row r="2324">
          <cell r="P2324" t="str">
            <v>SORVAGUR</v>
          </cell>
        </row>
        <row r="2325">
          <cell r="P2325" t="str">
            <v>SOUSSE</v>
          </cell>
        </row>
        <row r="2326">
          <cell r="P2326" t="str">
            <v>SOUTH BREWER</v>
          </cell>
        </row>
        <row r="2327">
          <cell r="P2327" t="str">
            <v>SOUTH CAPE</v>
          </cell>
        </row>
        <row r="2328">
          <cell r="P2328" t="str">
            <v>SOUTH SHIELDS</v>
          </cell>
        </row>
        <row r="2329">
          <cell r="P2329" t="str">
            <v>SOUTH WEST ROCKS</v>
          </cell>
        </row>
        <row r="2330">
          <cell r="P2330" t="str">
            <v>SOUTHAMPTON</v>
          </cell>
        </row>
        <row r="2331">
          <cell r="P2331" t="str">
            <v>SOUTHPORT</v>
          </cell>
        </row>
        <row r="2332">
          <cell r="P2332" t="str">
            <v>SOUTHWEST PASS</v>
          </cell>
        </row>
        <row r="2333">
          <cell r="P2333" t="str">
            <v>SOUTHWOLD STS</v>
          </cell>
        </row>
        <row r="2334">
          <cell r="P2334" t="str">
            <v>SOYO</v>
          </cell>
        </row>
        <row r="2335">
          <cell r="P2335" t="str">
            <v>SPARROWS POINT</v>
          </cell>
        </row>
        <row r="2336">
          <cell r="P2336" t="str">
            <v>SPEZIA</v>
          </cell>
        </row>
        <row r="2337">
          <cell r="P2337" t="str">
            <v>SPLIT</v>
          </cell>
        </row>
        <row r="2338">
          <cell r="P2338" t="str">
            <v>SQUAMISH</v>
          </cell>
        </row>
        <row r="2339">
          <cell r="P2339" t="str">
            <v>SRIRACHA</v>
          </cell>
        </row>
        <row r="2340">
          <cell r="P2340" t="str">
            <v>ST NICHOLAS</v>
          </cell>
        </row>
        <row r="2341">
          <cell r="P2341" t="str">
            <v>ST. ANDREWS</v>
          </cell>
        </row>
        <row r="2342">
          <cell r="P2342" t="str">
            <v>ST. CROIX</v>
          </cell>
        </row>
        <row r="2343">
          <cell r="P2343" t="str">
            <v>ST. DENIS</v>
          </cell>
        </row>
        <row r="2344">
          <cell r="P2344" t="str">
            <v>ST. EUSTATIUS</v>
          </cell>
        </row>
        <row r="2345">
          <cell r="P2345" t="str">
            <v>ST. GEORGE HARBOUR</v>
          </cell>
        </row>
        <row r="2346">
          <cell r="P2346" t="str">
            <v>ST. GEORGES (GRE)</v>
          </cell>
        </row>
        <row r="2347">
          <cell r="P2347" t="str">
            <v>ST. HELENA</v>
          </cell>
        </row>
        <row r="2348">
          <cell r="P2348" t="str">
            <v>ST. HELIER</v>
          </cell>
        </row>
        <row r="2349">
          <cell r="P2349" t="str">
            <v>ST. JOHN'S (ANT)</v>
          </cell>
        </row>
        <row r="2350">
          <cell r="P2350" t="str">
            <v>ST. JOHN'S (CAN)</v>
          </cell>
        </row>
        <row r="2351">
          <cell r="P2351" t="str">
            <v>ST. KITTS</v>
          </cell>
        </row>
        <row r="2352">
          <cell r="P2352" t="str">
            <v>ST. LOUIS DU RHONE</v>
          </cell>
        </row>
        <row r="2353">
          <cell r="P2353" t="str">
            <v>ST. LUCIA</v>
          </cell>
        </row>
        <row r="2354">
          <cell r="P2354" t="str">
            <v>ST. MALO</v>
          </cell>
        </row>
        <row r="2355">
          <cell r="P2355" t="str">
            <v>ST. NAZAIRE</v>
          </cell>
        </row>
        <row r="2356">
          <cell r="P2356" t="str">
            <v>ST. PETERSBURG</v>
          </cell>
        </row>
        <row r="2357">
          <cell r="P2357" t="str">
            <v>ST. ROSE</v>
          </cell>
        </row>
        <row r="2358">
          <cell r="P2358" t="str">
            <v>ST. THOMAS</v>
          </cell>
        </row>
        <row r="2359">
          <cell r="P2359" t="str">
            <v>ST. VINCENT (CV)</v>
          </cell>
        </row>
        <row r="2360">
          <cell r="P2360" t="str">
            <v>STADE</v>
          </cell>
        </row>
        <row r="2361">
          <cell r="P2361" t="str">
            <v>STADERSAND</v>
          </cell>
        </row>
        <row r="2362">
          <cell r="P2362" t="str">
            <v>STAG</v>
          </cell>
        </row>
        <row r="2363">
          <cell r="P2363" t="str">
            <v>STAMFORD</v>
          </cell>
        </row>
        <row r="2364">
          <cell r="P2364" t="str">
            <v>STAMSUND</v>
          </cell>
        </row>
        <row r="2365">
          <cell r="P2365" t="str">
            <v>STANLOW</v>
          </cell>
        </row>
        <row r="2366">
          <cell r="P2366" t="str">
            <v>STATFJORD</v>
          </cell>
        </row>
        <row r="2367">
          <cell r="P2367" t="str">
            <v>STAVANGER</v>
          </cell>
        </row>
        <row r="2368">
          <cell r="P2368" t="str">
            <v>STEENKOOL</v>
          </cell>
        </row>
        <row r="2369">
          <cell r="P2369" t="str">
            <v>STEILENE</v>
          </cell>
        </row>
        <row r="2370">
          <cell r="P2370" t="str">
            <v>STENUNGSUND</v>
          </cell>
        </row>
        <row r="2371">
          <cell r="P2371" t="str">
            <v>STEPHENVILLE</v>
          </cell>
        </row>
        <row r="2372">
          <cell r="P2372" t="str">
            <v>STETTIN</v>
          </cell>
        </row>
        <row r="2373">
          <cell r="P2373" t="str">
            <v>STEWART</v>
          </cell>
        </row>
        <row r="2374">
          <cell r="P2374" t="str">
            <v>STIGNAESVAERKETS</v>
          </cell>
        </row>
        <row r="2375">
          <cell r="P2375" t="str">
            <v>STILIS</v>
          </cell>
        </row>
        <row r="2376">
          <cell r="P2376" t="str">
            <v>STJORDAL</v>
          </cell>
        </row>
        <row r="2377">
          <cell r="P2377" t="str">
            <v>STOCKHOLM</v>
          </cell>
        </row>
        <row r="2378">
          <cell r="P2378" t="str">
            <v>STOCKTON</v>
          </cell>
        </row>
        <row r="2379">
          <cell r="P2379" t="str">
            <v>STOKMARKNES</v>
          </cell>
        </row>
        <row r="2380">
          <cell r="P2380" t="str">
            <v>STORMSKAER</v>
          </cell>
        </row>
        <row r="2381">
          <cell r="P2381" t="str">
            <v>STORNOWAY</v>
          </cell>
        </row>
        <row r="2382">
          <cell r="P2382" t="str">
            <v>STORUGNS</v>
          </cell>
        </row>
        <row r="2383">
          <cell r="P2383" t="str">
            <v>STRALSUND</v>
          </cell>
        </row>
        <row r="2384">
          <cell r="P2384" t="str">
            <v>STRANRAER</v>
          </cell>
        </row>
        <row r="2385">
          <cell r="P2385" t="str">
            <v>STROMSTAD</v>
          </cell>
        </row>
        <row r="2386">
          <cell r="P2386" t="str">
            <v>STRYN</v>
          </cell>
        </row>
        <row r="2387">
          <cell r="P2387" t="str">
            <v>STUDSTRUP</v>
          </cell>
        </row>
        <row r="2388">
          <cell r="P2388" t="str">
            <v>STUGSUND</v>
          </cell>
        </row>
        <row r="2389">
          <cell r="P2389" t="str">
            <v>STURE</v>
          </cell>
        </row>
        <row r="2390">
          <cell r="P2390" t="str">
            <v>STYLIS</v>
          </cell>
        </row>
        <row r="2391">
          <cell r="P2391" t="str">
            <v>SUAKIN</v>
          </cell>
        </row>
        <row r="2392">
          <cell r="P2392" t="str">
            <v>SUAO</v>
          </cell>
        </row>
        <row r="2393">
          <cell r="P2393" t="str">
            <v>SUAPE</v>
          </cell>
        </row>
        <row r="2394">
          <cell r="P2394" t="str">
            <v>SUBIC BAY</v>
          </cell>
        </row>
        <row r="2395">
          <cell r="P2395" t="str">
            <v>SUDA BAY</v>
          </cell>
        </row>
        <row r="2396">
          <cell r="P2396" t="str">
            <v>SUDR</v>
          </cell>
        </row>
        <row r="2397">
          <cell r="P2397" t="str">
            <v>SUEZ</v>
          </cell>
        </row>
        <row r="2398">
          <cell r="P2398" t="str">
            <v>SUKRIER</v>
          </cell>
        </row>
        <row r="2399">
          <cell r="P2399" t="str">
            <v>SULINA</v>
          </cell>
        </row>
        <row r="2400">
          <cell r="P2400" t="str">
            <v>SULLOM VOE</v>
          </cell>
        </row>
        <row r="2401">
          <cell r="P2401" t="str">
            <v>SULU ISLAND</v>
          </cell>
        </row>
        <row r="2402">
          <cell r="P2402" t="str">
            <v>SUMENEP</v>
          </cell>
        </row>
        <row r="2403">
          <cell r="P2403" t="str">
            <v>SUMMERSIDE</v>
          </cell>
        </row>
        <row r="2404">
          <cell r="P2404" t="str">
            <v>SUNDA STRAIT</v>
          </cell>
        </row>
        <row r="2405">
          <cell r="P2405" t="str">
            <v>SUNDERLAND</v>
          </cell>
        </row>
        <row r="2406">
          <cell r="P2406" t="str">
            <v>SUNDSVALL</v>
          </cell>
        </row>
        <row r="2407">
          <cell r="P2407" t="str">
            <v>SUNGEI PAKNING</v>
          </cell>
        </row>
        <row r="2408">
          <cell r="P2408" t="str">
            <v>SUPE</v>
          </cell>
        </row>
        <row r="2409">
          <cell r="P2409" t="str">
            <v>SURABAJA</v>
          </cell>
        </row>
        <row r="2410">
          <cell r="P2410" t="str">
            <v>SURALAYA, INDONESIA - JAWA</v>
          </cell>
        </row>
        <row r="2411">
          <cell r="P2411" t="str">
            <v>SURT</v>
          </cell>
        </row>
        <row r="2412">
          <cell r="P2412" t="str">
            <v>SUSAKI</v>
          </cell>
        </row>
        <row r="2413">
          <cell r="P2413" t="str">
            <v>SUSU</v>
          </cell>
        </row>
        <row r="2414">
          <cell r="P2414" t="str">
            <v>SUVA</v>
          </cell>
        </row>
        <row r="2415">
          <cell r="P2415" t="str">
            <v>SUZAKI</v>
          </cell>
        </row>
        <row r="2416">
          <cell r="P2416" t="str">
            <v>SVANO</v>
          </cell>
        </row>
        <row r="2417">
          <cell r="P2417" t="str">
            <v>SVANON</v>
          </cell>
        </row>
        <row r="2418">
          <cell r="P2418" t="str">
            <v>SVARTVIK</v>
          </cell>
        </row>
        <row r="2419">
          <cell r="P2419" t="str">
            <v>SVELGEN</v>
          </cell>
        </row>
        <row r="2420">
          <cell r="P2420" t="str">
            <v>SVENDBORG</v>
          </cell>
        </row>
        <row r="2421">
          <cell r="P2421" t="str">
            <v>SVOLVAER</v>
          </cell>
        </row>
        <row r="2422">
          <cell r="P2422" t="str">
            <v>SWANSEA</v>
          </cell>
        </row>
        <row r="2423">
          <cell r="P2423" t="str">
            <v>SWATOW</v>
          </cell>
        </row>
        <row r="2424">
          <cell r="P2424" t="str">
            <v>SWINEMUNDE</v>
          </cell>
        </row>
        <row r="2425">
          <cell r="P2425" t="str">
            <v>SWINOUJSCIE</v>
          </cell>
        </row>
        <row r="2426">
          <cell r="P2426" t="str">
            <v>SYDAURANGER</v>
          </cell>
        </row>
        <row r="2427">
          <cell r="P2427" t="str">
            <v>SYDNEY (AUS)</v>
          </cell>
        </row>
        <row r="2428">
          <cell r="P2428" t="str">
            <v>SYDNEY (CAN)</v>
          </cell>
        </row>
        <row r="2429">
          <cell r="P2429" t="str">
            <v>SYRA</v>
          </cell>
        </row>
        <row r="2430">
          <cell r="P2430" t="str">
            <v>SYROS</v>
          </cell>
        </row>
        <row r="2431">
          <cell r="P2431" t="str">
            <v>SZCZECIN</v>
          </cell>
        </row>
        <row r="2432">
          <cell r="P2432" t="str">
            <v>TABANGAO</v>
          </cell>
        </row>
        <row r="2433">
          <cell r="P2433" t="str">
            <v>TABOGUILLA ISLAND</v>
          </cell>
        </row>
        <row r="2434">
          <cell r="P2434" t="str">
            <v>TACHIBANA</v>
          </cell>
        </row>
        <row r="2435">
          <cell r="P2435" t="str">
            <v>TACOMA</v>
          </cell>
        </row>
        <row r="2436">
          <cell r="P2436" t="str">
            <v>TAFT</v>
          </cell>
        </row>
        <row r="2437">
          <cell r="P2437" t="str">
            <v>TAGANROG</v>
          </cell>
        </row>
        <row r="2438">
          <cell r="P2438" t="str">
            <v>TAHSIS</v>
          </cell>
        </row>
        <row r="2439">
          <cell r="P2439" t="str">
            <v>TAICHUNG</v>
          </cell>
        </row>
        <row r="2440">
          <cell r="P2440" t="str">
            <v>TAKASAGO</v>
          </cell>
        </row>
        <row r="2441">
          <cell r="P2441" t="str">
            <v>TAKORADI</v>
          </cell>
        </row>
        <row r="2442">
          <cell r="P2442" t="str">
            <v>TAKU BAR</v>
          </cell>
        </row>
        <row r="2443">
          <cell r="P2443" t="str">
            <v>TALARA</v>
          </cell>
        </row>
        <row r="2444">
          <cell r="P2444" t="str">
            <v>TALCAHUANO</v>
          </cell>
        </row>
        <row r="2445">
          <cell r="P2445" t="str">
            <v>TALLINN</v>
          </cell>
        </row>
        <row r="2446">
          <cell r="P2446" t="str">
            <v>TALTAL</v>
          </cell>
        </row>
        <row r="2447">
          <cell r="P2447" t="str">
            <v>TAMATAVE</v>
          </cell>
        </row>
        <row r="2448">
          <cell r="P2448" t="str">
            <v>TAMPA</v>
          </cell>
        </row>
        <row r="2449">
          <cell r="P2449" t="str">
            <v>TAMPICO</v>
          </cell>
        </row>
        <row r="2450">
          <cell r="P2450" t="str">
            <v>TANANGER</v>
          </cell>
        </row>
        <row r="2451">
          <cell r="P2451" t="str">
            <v>TANDJUNG PANDAN</v>
          </cell>
        </row>
        <row r="2452">
          <cell r="P2452" t="str">
            <v>TANDJUNG PRIOK</v>
          </cell>
        </row>
        <row r="2453">
          <cell r="P2453" t="str">
            <v>TANDJUNG UBAN</v>
          </cell>
        </row>
        <row r="2454">
          <cell r="P2454" t="str">
            <v>TANGA</v>
          </cell>
        </row>
        <row r="2455">
          <cell r="P2455" t="str">
            <v>TANGIER</v>
          </cell>
        </row>
        <row r="2456">
          <cell r="P2456" t="str">
            <v>TANJONG KLING, MALAYSIA</v>
          </cell>
        </row>
        <row r="2457">
          <cell r="P2457" t="str">
            <v>TANJONG PAGAR</v>
          </cell>
        </row>
        <row r="2458">
          <cell r="P2458" t="str">
            <v>TANJONG PENJURU</v>
          </cell>
        </row>
        <row r="2459">
          <cell r="P2459" t="str">
            <v>TANJUNG LANGSAT</v>
          </cell>
        </row>
        <row r="2460">
          <cell r="P2460" t="str">
            <v>TANJUNG PANDAN</v>
          </cell>
        </row>
        <row r="2461">
          <cell r="P2461" t="str">
            <v>TANJUNG PELEPAS</v>
          </cell>
        </row>
        <row r="2462">
          <cell r="P2462" t="str">
            <v>TANJUNG PRIOK</v>
          </cell>
        </row>
        <row r="2463">
          <cell r="P2463" t="str">
            <v>TANJUNG UBAN</v>
          </cell>
        </row>
        <row r="2464">
          <cell r="P2464" t="str">
            <v>TARAKAN</v>
          </cell>
        </row>
        <row r="2465">
          <cell r="P2465" t="str">
            <v>TARANTO</v>
          </cell>
        </row>
        <row r="2466">
          <cell r="P2466" t="str">
            <v>TARBERT</v>
          </cell>
        </row>
        <row r="2467">
          <cell r="P2467" t="str">
            <v>TARRAGONA</v>
          </cell>
        </row>
        <row r="2468">
          <cell r="P2468" t="str">
            <v>TARTOUS</v>
          </cell>
        </row>
        <row r="2469">
          <cell r="P2469" t="str">
            <v>TAURANGA</v>
          </cell>
        </row>
        <row r="2470">
          <cell r="P2470" t="str">
            <v>TAWAU</v>
          </cell>
        </row>
        <row r="2471">
          <cell r="P2471" t="str">
            <v>TCHATAMBA TERMINAL, GABON</v>
          </cell>
        </row>
        <row r="2472">
          <cell r="P2472" t="str">
            <v>TEESPORT</v>
          </cell>
        </row>
        <row r="2473">
          <cell r="P2473" t="str">
            <v>TEGAL</v>
          </cell>
        </row>
        <row r="2474">
          <cell r="P2474" t="str">
            <v>TEIGNMOUTH</v>
          </cell>
        </row>
        <row r="2475">
          <cell r="P2475" t="str">
            <v>TEKIRDAG</v>
          </cell>
        </row>
        <row r="2476">
          <cell r="P2476" t="str">
            <v>TEL AVIV</v>
          </cell>
        </row>
        <row r="2477">
          <cell r="P2477" t="str">
            <v>TELA</v>
          </cell>
        </row>
        <row r="2478">
          <cell r="P2478" t="str">
            <v>TELOK ANSON</v>
          </cell>
        </row>
        <row r="2479">
          <cell r="P2479" t="str">
            <v>TELUK BAYUR</v>
          </cell>
        </row>
        <row r="2480">
          <cell r="P2480" t="str">
            <v>TELUK INTAN</v>
          </cell>
        </row>
        <row r="2481">
          <cell r="P2481" t="str">
            <v>TELUKBETUNG</v>
          </cell>
        </row>
        <row r="2482">
          <cell r="P2482" t="str">
            <v>TEMA</v>
          </cell>
        </row>
        <row r="2483">
          <cell r="P2483" t="str">
            <v>TEMBLADORA</v>
          </cell>
        </row>
        <row r="2484">
          <cell r="P2484" t="str">
            <v>TENERIFE</v>
          </cell>
        </row>
        <row r="2485">
          <cell r="P2485" t="str">
            <v>TERMINI IMERESE</v>
          </cell>
        </row>
        <row r="2486">
          <cell r="P2486" t="str">
            <v>TERNATE</v>
          </cell>
        </row>
        <row r="2487">
          <cell r="P2487" t="str">
            <v>TERNEUZEN</v>
          </cell>
        </row>
        <row r="2488">
          <cell r="P2488" t="str">
            <v>TETNEY MARINE TERMINAL</v>
          </cell>
        </row>
        <row r="2489">
          <cell r="P2489" t="str">
            <v>TEXADA ISLAND</v>
          </cell>
        </row>
        <row r="2490">
          <cell r="P2490" t="str">
            <v>TEXAS CITY</v>
          </cell>
        </row>
        <row r="2491">
          <cell r="P2491" t="str">
            <v>TEXEL</v>
          </cell>
        </row>
        <row r="2492">
          <cell r="P2492" t="str">
            <v>THAMESHAVEN</v>
          </cell>
        </row>
        <row r="2493">
          <cell r="P2493" t="str">
            <v>THAMSHAMN</v>
          </cell>
        </row>
        <row r="2494">
          <cell r="P2494" t="str">
            <v>THASOS</v>
          </cell>
        </row>
        <row r="2495">
          <cell r="P2495" t="str">
            <v>THEODOSIA</v>
          </cell>
        </row>
        <row r="2496">
          <cell r="P2496" t="str">
            <v>THESSALONIKI</v>
          </cell>
        </row>
        <row r="2497">
          <cell r="P2497" t="str">
            <v>THEVENARD</v>
          </cell>
        </row>
        <row r="2498">
          <cell r="P2498" t="str">
            <v>THIO</v>
          </cell>
        </row>
        <row r="2499">
          <cell r="P2499" t="str">
            <v>THORSHAVN</v>
          </cell>
        </row>
        <row r="2500">
          <cell r="P2500" t="str">
            <v>THREE RIVERS</v>
          </cell>
        </row>
        <row r="2501">
          <cell r="P2501" t="str">
            <v>THULE</v>
          </cell>
        </row>
        <row r="2502">
          <cell r="P2502" t="str">
            <v>THUNDER BAY</v>
          </cell>
        </row>
        <row r="2503">
          <cell r="P2503" t="str">
            <v>THURSDAY ISLAND</v>
          </cell>
        </row>
        <row r="2504">
          <cell r="P2504" t="str">
            <v>THURSO</v>
          </cell>
        </row>
        <row r="2505">
          <cell r="P2505" t="str">
            <v>THYBORON</v>
          </cell>
        </row>
        <row r="2506">
          <cell r="P2506" t="str">
            <v>TIANJIN</v>
          </cell>
        </row>
        <row r="2507">
          <cell r="P2507" t="str">
            <v>TILBURY</v>
          </cell>
        </row>
        <row r="2508">
          <cell r="P2508" t="str">
            <v>TIMARU</v>
          </cell>
        </row>
        <row r="2509">
          <cell r="P2509" t="str">
            <v>TIVERTON</v>
          </cell>
        </row>
        <row r="2510">
          <cell r="P2510" t="str">
            <v>TJILATJAP</v>
          </cell>
        </row>
        <row r="2511">
          <cell r="P2511" t="str">
            <v>TJIREBON</v>
          </cell>
        </row>
        <row r="2512">
          <cell r="P2512" t="str">
            <v>TOAMASINA</v>
          </cell>
        </row>
        <row r="2513">
          <cell r="P2513" t="str">
            <v>TOBATA</v>
          </cell>
        </row>
        <row r="2514">
          <cell r="P2514" t="str">
            <v>TOBRUK</v>
          </cell>
        </row>
        <row r="2515">
          <cell r="P2515" t="str">
            <v>TOCOPILLA</v>
          </cell>
        </row>
        <row r="2516">
          <cell r="P2516" t="str">
            <v>TOFTE</v>
          </cell>
        </row>
        <row r="2517">
          <cell r="P2517" t="str">
            <v>TOKUYAMA</v>
          </cell>
        </row>
        <row r="2518">
          <cell r="P2518" t="str">
            <v>TOKYO</v>
          </cell>
        </row>
        <row r="2519">
          <cell r="P2519" t="str">
            <v>TOLEDO</v>
          </cell>
        </row>
        <row r="2520">
          <cell r="P2520" t="str">
            <v>TOLEDO (USA)</v>
          </cell>
        </row>
        <row r="2521">
          <cell r="P2521" t="str">
            <v>TOLIARA</v>
          </cell>
        </row>
        <row r="2522">
          <cell r="P2522" t="str">
            <v>TOLLESBURY</v>
          </cell>
        </row>
        <row r="2523">
          <cell r="P2523" t="str">
            <v>TOMAKOMAI</v>
          </cell>
        </row>
        <row r="2524">
          <cell r="P2524" t="str">
            <v>TONDA</v>
          </cell>
        </row>
        <row r="2525">
          <cell r="P2525" t="str">
            <v>TONNAY CHARANT</v>
          </cell>
        </row>
        <row r="2526">
          <cell r="P2526" t="str">
            <v>TONSBERG</v>
          </cell>
        </row>
        <row r="2527">
          <cell r="P2527" t="str">
            <v>TOPOLOBAMPO</v>
          </cell>
        </row>
        <row r="2528">
          <cell r="P2528" t="str">
            <v>TOR</v>
          </cell>
        </row>
        <row r="2529">
          <cell r="P2529" t="str">
            <v>TORNIO</v>
          </cell>
        </row>
        <row r="2530">
          <cell r="P2530" t="str">
            <v>TORONTO</v>
          </cell>
        </row>
        <row r="2531">
          <cell r="P2531" t="str">
            <v>TORQUAY</v>
          </cell>
        </row>
        <row r="2532">
          <cell r="P2532" t="str">
            <v>TORRE ANNUNZIATA</v>
          </cell>
        </row>
        <row r="2533">
          <cell r="P2533" t="str">
            <v>TORREVIEJA</v>
          </cell>
        </row>
        <row r="2534">
          <cell r="P2534" t="str">
            <v>TORTOLA</v>
          </cell>
        </row>
        <row r="2535">
          <cell r="P2535" t="str">
            <v>TOULON</v>
          </cell>
        </row>
        <row r="2536">
          <cell r="P2536" t="str">
            <v>TOURANE</v>
          </cell>
        </row>
        <row r="2537">
          <cell r="P2537" t="str">
            <v>TOWNSVILLE</v>
          </cell>
        </row>
        <row r="2538">
          <cell r="P2538" t="str">
            <v>TOYAMA</v>
          </cell>
        </row>
        <row r="2539">
          <cell r="P2539" t="str">
            <v>TRABZON</v>
          </cell>
        </row>
        <row r="2540">
          <cell r="P2540" t="str">
            <v>TRACY</v>
          </cell>
        </row>
        <row r="2541">
          <cell r="P2541" t="str">
            <v>TRAMANDAI</v>
          </cell>
        </row>
        <row r="2542">
          <cell r="P2542" t="str">
            <v>TRANMERE</v>
          </cell>
        </row>
        <row r="2543">
          <cell r="P2543" t="str">
            <v>TRAPANI</v>
          </cell>
        </row>
        <row r="2544">
          <cell r="P2544" t="str">
            <v>TRAVEMUNDE</v>
          </cell>
        </row>
        <row r="2545">
          <cell r="P2545" t="str">
            <v>TREGUIER</v>
          </cell>
        </row>
        <row r="2546">
          <cell r="P2546" t="str">
            <v>TRELLEBORG</v>
          </cell>
        </row>
        <row r="2547">
          <cell r="P2547" t="str">
            <v>TRIAL BAY</v>
          </cell>
        </row>
        <row r="2548">
          <cell r="P2548" t="str">
            <v>TRIESTE</v>
          </cell>
        </row>
        <row r="2549">
          <cell r="P2549" t="str">
            <v>TRINCOMALEE</v>
          </cell>
        </row>
        <row r="2550">
          <cell r="P2550" t="str">
            <v>TRINIDAD</v>
          </cell>
        </row>
        <row r="2551">
          <cell r="P2551" t="str">
            <v>TRIPOLI (LEB)</v>
          </cell>
        </row>
        <row r="2552">
          <cell r="P2552" t="str">
            <v>TRIPOLI (LIB)</v>
          </cell>
        </row>
        <row r="2553">
          <cell r="P2553" t="str">
            <v>TROIS RIVIERES</v>
          </cell>
        </row>
        <row r="2554">
          <cell r="P2554" t="str">
            <v>TROMBETAS</v>
          </cell>
        </row>
        <row r="2555">
          <cell r="P2555" t="str">
            <v>TROMSO</v>
          </cell>
        </row>
        <row r="2556">
          <cell r="P2556" t="str">
            <v>TRONDHEIM</v>
          </cell>
        </row>
        <row r="2557">
          <cell r="P2557" t="str">
            <v>TRUJILLO</v>
          </cell>
        </row>
        <row r="2558">
          <cell r="P2558" t="str">
            <v>TSAMKONG</v>
          </cell>
        </row>
        <row r="2559">
          <cell r="P2559" t="str">
            <v>TSINGTAO</v>
          </cell>
        </row>
        <row r="2560">
          <cell r="P2560" t="str">
            <v>TSUKUMI</v>
          </cell>
        </row>
        <row r="2561">
          <cell r="P2561" t="str">
            <v>TSUNEISHI</v>
          </cell>
        </row>
        <row r="2562">
          <cell r="P2562" t="str">
            <v>TSURUGA</v>
          </cell>
        </row>
        <row r="2563">
          <cell r="P2563" t="str">
            <v>TUAPSE</v>
          </cell>
        </row>
        <row r="2564">
          <cell r="P2564" t="str">
            <v>TUBAN</v>
          </cell>
        </row>
        <row r="2565">
          <cell r="P2565" t="str">
            <v>TUBARAO</v>
          </cell>
        </row>
        <row r="2566">
          <cell r="P2566" t="str">
            <v>TULCEA</v>
          </cell>
        </row>
        <row r="2567">
          <cell r="P2567" t="str">
            <v>TULEAR</v>
          </cell>
        </row>
        <row r="2568">
          <cell r="P2568" t="str">
            <v>TUMACO</v>
          </cell>
        </row>
        <row r="2569">
          <cell r="P2569" t="str">
            <v>TUNADAL</v>
          </cell>
        </row>
        <row r="2570">
          <cell r="P2570" t="str">
            <v>TUNIS</v>
          </cell>
        </row>
        <row r="2571">
          <cell r="P2571" t="str">
            <v>TUPAVUORI</v>
          </cell>
        </row>
        <row r="2572">
          <cell r="P2572" t="str">
            <v>TURBO</v>
          </cell>
        </row>
        <row r="2573">
          <cell r="P2573" t="str">
            <v>TURKU</v>
          </cell>
        </row>
        <row r="2574">
          <cell r="P2574" t="str">
            <v>TUSKAR ROCK</v>
          </cell>
        </row>
        <row r="2575">
          <cell r="P2575" t="str">
            <v>TUTICORIN</v>
          </cell>
        </row>
        <row r="2576">
          <cell r="P2576" t="str">
            <v>TUTUNCIFILIK</v>
          </cell>
        </row>
        <row r="2577">
          <cell r="P2577" t="str">
            <v>TUXPAN</v>
          </cell>
        </row>
        <row r="2578">
          <cell r="P2578" t="str">
            <v>TYBORON</v>
          </cell>
        </row>
        <row r="2579">
          <cell r="P2579" t="str">
            <v>TYNE</v>
          </cell>
        </row>
        <row r="2580">
          <cell r="P2580" t="str">
            <v>TYONEK</v>
          </cell>
        </row>
        <row r="2581">
          <cell r="P2581" t="str">
            <v>TYSSEDAL</v>
          </cell>
        </row>
        <row r="2582">
          <cell r="P2582" t="str">
            <v>UBE</v>
          </cell>
        </row>
        <row r="2583">
          <cell r="P2583" t="str">
            <v>UDDEVALLA</v>
          </cell>
        </row>
        <row r="2584">
          <cell r="P2584" t="str">
            <v>UJUNG PANDANG</v>
          </cell>
        </row>
        <row r="2585">
          <cell r="P2585" t="str">
            <v>ULSAN</v>
          </cell>
        </row>
        <row r="2586">
          <cell r="P2586" t="str">
            <v>ULSTEINVIK</v>
          </cell>
        </row>
        <row r="2587">
          <cell r="P2587" t="str">
            <v>UMEA</v>
          </cell>
        </row>
        <row r="2588">
          <cell r="P2588" t="str">
            <v>UMEA (HOLMSUND)</v>
          </cell>
        </row>
        <row r="2589">
          <cell r="P2589" t="str">
            <v>UMM QASR</v>
          </cell>
        </row>
        <row r="2590">
          <cell r="P2590" t="str">
            <v>UMM SAID</v>
          </cell>
        </row>
        <row r="2591">
          <cell r="P2591" t="str">
            <v>UNALASKA</v>
          </cell>
        </row>
        <row r="2592">
          <cell r="P2592" t="str">
            <v>URAGA</v>
          </cell>
        </row>
        <row r="2593">
          <cell r="P2593" t="str">
            <v>URANGAN</v>
          </cell>
        </row>
        <row r="2594">
          <cell r="P2594" t="str">
            <v>USHANT</v>
          </cell>
        </row>
        <row r="2595">
          <cell r="P2595" t="str">
            <v>UST-DUNAYSK</v>
          </cell>
        </row>
        <row r="2596">
          <cell r="P2596" t="str">
            <v>UTANSJO</v>
          </cell>
        </row>
        <row r="2597">
          <cell r="P2597" t="str">
            <v>UUSIKAUPUNKI</v>
          </cell>
        </row>
        <row r="2598">
          <cell r="P2598" t="str">
            <v>VAASA</v>
          </cell>
        </row>
        <row r="2599">
          <cell r="P2599" t="str">
            <v>VADHEIM</v>
          </cell>
        </row>
        <row r="2600">
          <cell r="P2600" t="str">
            <v>VADINAR</v>
          </cell>
        </row>
        <row r="2601">
          <cell r="P2601" t="str">
            <v>VADO</v>
          </cell>
        </row>
        <row r="2602">
          <cell r="P2602" t="str">
            <v>VADSO</v>
          </cell>
        </row>
        <row r="2603">
          <cell r="P2603" t="str">
            <v>VAKSDAL</v>
          </cell>
        </row>
        <row r="2604">
          <cell r="P2604" t="str">
            <v>VALDEZ</v>
          </cell>
        </row>
        <row r="2605">
          <cell r="P2605" t="str">
            <v>VALDIVIA</v>
          </cell>
        </row>
        <row r="2606">
          <cell r="P2606" t="str">
            <v>VALENCIA</v>
          </cell>
        </row>
        <row r="2607">
          <cell r="P2607" t="str">
            <v>VALKON</v>
          </cell>
        </row>
        <row r="2608">
          <cell r="P2608" t="str">
            <v>VALLETTA</v>
          </cell>
        </row>
        <row r="2609">
          <cell r="P2609" t="str">
            <v>VALLEYFIELD</v>
          </cell>
        </row>
        <row r="2610">
          <cell r="P2610" t="str">
            <v>VALLO</v>
          </cell>
        </row>
        <row r="2611">
          <cell r="P2611" t="str">
            <v>VALLOY</v>
          </cell>
        </row>
        <row r="2612">
          <cell r="P2612" t="str">
            <v>VALONA</v>
          </cell>
        </row>
        <row r="2613">
          <cell r="P2613" t="str">
            <v>VALPARAISO</v>
          </cell>
        </row>
        <row r="2614">
          <cell r="P2614" t="str">
            <v>VANCOUVER</v>
          </cell>
        </row>
        <row r="2615">
          <cell r="P2615" t="str">
            <v>VANCOUVER (USA-WA)</v>
          </cell>
        </row>
        <row r="2616">
          <cell r="P2616" t="str">
            <v>VANINO</v>
          </cell>
        </row>
        <row r="2617">
          <cell r="P2617" t="str">
            <v>VARANUS ISLAND TERMINAL</v>
          </cell>
        </row>
        <row r="2618">
          <cell r="P2618" t="str">
            <v>VARBERG</v>
          </cell>
        </row>
        <row r="2619">
          <cell r="P2619" t="str">
            <v>VARDO</v>
          </cell>
        </row>
        <row r="2620">
          <cell r="P2620" t="str">
            <v>VARNA</v>
          </cell>
        </row>
        <row r="2621">
          <cell r="P2621" t="str">
            <v>VASTERAS</v>
          </cell>
        </row>
        <row r="2622">
          <cell r="P2622" t="str">
            <v>VASTERVIK</v>
          </cell>
        </row>
        <row r="2623">
          <cell r="P2623" t="str">
            <v>VASTO</v>
          </cell>
        </row>
        <row r="2624">
          <cell r="P2624" t="str">
            <v>VATIA</v>
          </cell>
        </row>
        <row r="2625">
          <cell r="P2625" t="str">
            <v>VATOMANDRY</v>
          </cell>
        </row>
        <row r="2626">
          <cell r="P2626" t="str">
            <v>VAVOUTO</v>
          </cell>
        </row>
        <row r="2627">
          <cell r="P2627" t="str">
            <v>VEJLE</v>
          </cell>
        </row>
        <row r="2628">
          <cell r="P2628" t="str">
            <v>VELSEN</v>
          </cell>
        </row>
        <row r="2629">
          <cell r="P2629" t="str">
            <v>VENICE</v>
          </cell>
        </row>
        <row r="2630">
          <cell r="P2630" t="str">
            <v>VENTSPILS</v>
          </cell>
        </row>
        <row r="2631">
          <cell r="P2631" t="str">
            <v>VERA CRUZ</v>
          </cell>
        </row>
        <row r="2632">
          <cell r="P2632" t="str">
            <v>VERACRUZ</v>
          </cell>
        </row>
        <row r="2633">
          <cell r="P2633" t="str">
            <v>VERAVAL</v>
          </cell>
        </row>
        <row r="2634">
          <cell r="P2634" t="str">
            <v>VERDAL</v>
          </cell>
        </row>
        <row r="2635">
          <cell r="P2635" t="str">
            <v>VESTMANNAEYJAR</v>
          </cell>
        </row>
        <row r="2636">
          <cell r="P2636" t="str">
            <v>VESTNES</v>
          </cell>
        </row>
        <row r="2637">
          <cell r="P2637" t="str">
            <v>VIANA DO CASTELO</v>
          </cell>
        </row>
        <row r="2638">
          <cell r="P2638" t="str">
            <v>VIBORG</v>
          </cell>
        </row>
        <row r="2639">
          <cell r="P2639" t="str">
            <v>VICTORIA</v>
          </cell>
        </row>
        <row r="2640">
          <cell r="P2640" t="str">
            <v>VIDAIR</v>
          </cell>
        </row>
        <row r="2641">
          <cell r="P2641" t="str">
            <v>VIGO</v>
          </cell>
        </row>
        <row r="2642">
          <cell r="P2642" t="str">
            <v>VILA DO CONDE</v>
          </cell>
        </row>
        <row r="2643">
          <cell r="P2643" t="str">
            <v>VILLA CONSTITUCION</v>
          </cell>
        </row>
        <row r="2644">
          <cell r="P2644" t="str">
            <v>VILLA DO PORTO</v>
          </cell>
        </row>
        <row r="2645">
          <cell r="P2645" t="str">
            <v>VILLAGARCIA</v>
          </cell>
        </row>
        <row r="2646">
          <cell r="P2646" t="str">
            <v>VILLEFRANCHE</v>
          </cell>
        </row>
        <row r="2647">
          <cell r="P2647" t="str">
            <v>VINGA ISLAND</v>
          </cell>
        </row>
        <row r="2648">
          <cell r="P2648" t="str">
            <v>VISAKHAPATNAM</v>
          </cell>
        </row>
        <row r="2649">
          <cell r="P2649" t="str">
            <v>VITINO</v>
          </cell>
        </row>
        <row r="2650">
          <cell r="P2650" t="str">
            <v>VITORIA</v>
          </cell>
        </row>
        <row r="2651">
          <cell r="P2651" t="str">
            <v>VLAARDINGEN</v>
          </cell>
        </row>
        <row r="2652">
          <cell r="P2652" t="str">
            <v>VLADIVOSTOK</v>
          </cell>
        </row>
        <row r="2653">
          <cell r="P2653" t="str">
            <v>VLISSINGEN</v>
          </cell>
        </row>
        <row r="2654">
          <cell r="P2654" t="str">
            <v>VLORE</v>
          </cell>
        </row>
        <row r="2655">
          <cell r="P2655" t="str">
            <v>VOLDA</v>
          </cell>
        </row>
        <row r="2656">
          <cell r="P2656" t="str">
            <v>VOLOS</v>
          </cell>
        </row>
        <row r="2657">
          <cell r="P2657" t="str">
            <v>VUDA POINT</v>
          </cell>
        </row>
        <row r="2658">
          <cell r="P2658" t="str">
            <v>VUNDA POINT</v>
          </cell>
        </row>
        <row r="2659">
          <cell r="P2659" t="str">
            <v>VUNG TAU</v>
          </cell>
        </row>
        <row r="2660">
          <cell r="P2660" t="str">
            <v>WAALHAVEN</v>
          </cell>
        </row>
        <row r="2661">
          <cell r="P2661" t="str">
            <v>WADDINGTON</v>
          </cell>
        </row>
        <row r="2662">
          <cell r="P2662" t="str">
            <v>WADI FEIRAN</v>
          </cell>
        </row>
        <row r="2663">
          <cell r="P2663" t="str">
            <v>WAIJA</v>
          </cell>
        </row>
        <row r="2664">
          <cell r="P2664" t="str">
            <v>WAISARISA, INDONESIA - MALUKU</v>
          </cell>
        </row>
        <row r="2665">
          <cell r="P2665" t="str">
            <v>WAKAMATSU</v>
          </cell>
        </row>
        <row r="2666">
          <cell r="P2666" t="str">
            <v>WAKAYAMA</v>
          </cell>
        </row>
        <row r="2667">
          <cell r="P2667" t="str">
            <v>WALLACE BAY</v>
          </cell>
        </row>
        <row r="2668">
          <cell r="P2668" t="str">
            <v>WALLAROO</v>
          </cell>
        </row>
        <row r="2669">
          <cell r="P2669" t="str">
            <v>WALLVIK</v>
          </cell>
        </row>
        <row r="2670">
          <cell r="P2670" t="str">
            <v>WALVIS BAY</v>
          </cell>
        </row>
        <row r="2671">
          <cell r="P2671" t="str">
            <v>WANDO</v>
          </cell>
        </row>
        <row r="2672">
          <cell r="P2672" t="str">
            <v>WANGANUI</v>
          </cell>
        </row>
        <row r="2673">
          <cell r="P2673" t="str">
            <v>WANGAREI</v>
          </cell>
        </row>
        <row r="2674">
          <cell r="P2674" t="str">
            <v>WARRENPOINT</v>
          </cell>
        </row>
        <row r="2675">
          <cell r="P2675" t="str">
            <v>WARRI</v>
          </cell>
        </row>
        <row r="2676">
          <cell r="P2676" t="str">
            <v>WARRNAMBOOL</v>
          </cell>
        </row>
        <row r="2677">
          <cell r="P2677" t="str">
            <v>WATERFORD</v>
          </cell>
        </row>
        <row r="2678">
          <cell r="P2678" t="str">
            <v>WATSON ISLAND</v>
          </cell>
        </row>
        <row r="2679">
          <cell r="P2679" t="str">
            <v>WEASTE</v>
          </cell>
        </row>
        <row r="2680">
          <cell r="P2680" t="str">
            <v>WEIHAI</v>
          </cell>
        </row>
        <row r="2681">
          <cell r="P2681" t="str">
            <v>WEIPA</v>
          </cell>
        </row>
        <row r="2682">
          <cell r="P2682" t="str">
            <v>WELLINGTON</v>
          </cell>
        </row>
        <row r="2683">
          <cell r="P2683" t="str">
            <v>WEMYSS BAY</v>
          </cell>
        </row>
        <row r="2684">
          <cell r="P2684" t="str">
            <v>WENCHANG OFFSHORE TMNL</v>
          </cell>
        </row>
        <row r="2685">
          <cell r="P2685" t="str">
            <v>WENZHON</v>
          </cell>
        </row>
        <row r="2686">
          <cell r="P2686" t="str">
            <v>WENZHOU</v>
          </cell>
        </row>
        <row r="2687">
          <cell r="P2687" t="str">
            <v>WEST FORELAND</v>
          </cell>
        </row>
        <row r="2688">
          <cell r="P2688" t="str">
            <v>WEST THURROCK</v>
          </cell>
        </row>
        <row r="2689">
          <cell r="P2689" t="str">
            <v>WEST WEGO</v>
          </cell>
        </row>
        <row r="2690">
          <cell r="P2690" t="str">
            <v>WESTERNPORT</v>
          </cell>
        </row>
        <row r="2691">
          <cell r="P2691" t="str">
            <v>WESTERVIK</v>
          </cell>
        </row>
        <row r="2692">
          <cell r="P2692" t="str">
            <v>WEYMOUTH</v>
          </cell>
        </row>
        <row r="2693">
          <cell r="P2693" t="str">
            <v>WHAMPOA</v>
          </cell>
        </row>
        <row r="2694">
          <cell r="P2694" t="str">
            <v>WHANGAREI</v>
          </cell>
        </row>
        <row r="2695">
          <cell r="P2695" t="str">
            <v>WHIFFEN HEAD</v>
          </cell>
        </row>
        <row r="2696">
          <cell r="P2696" t="str">
            <v>WHITEGATE</v>
          </cell>
        </row>
        <row r="2697">
          <cell r="P2697" t="str">
            <v>WHITEHAVEN</v>
          </cell>
        </row>
        <row r="2698">
          <cell r="P2698" t="str">
            <v>WHITTIER</v>
          </cell>
        </row>
        <row r="2699">
          <cell r="P2699" t="str">
            <v>WHYALLA</v>
          </cell>
        </row>
        <row r="2700">
          <cell r="P2700" t="str">
            <v>WICK</v>
          </cell>
        </row>
        <row r="2701">
          <cell r="P2701" t="str">
            <v>WICKLOW</v>
          </cell>
        </row>
        <row r="2702">
          <cell r="P2702" t="str">
            <v>WIDURI TERMINAL</v>
          </cell>
        </row>
        <row r="2703">
          <cell r="P2703" t="str">
            <v>WILHELMSHAVEN</v>
          </cell>
        </row>
        <row r="2704">
          <cell r="P2704" t="str">
            <v>WILLEMSTAD</v>
          </cell>
        </row>
        <row r="2705">
          <cell r="P2705" t="str">
            <v>WILMINGTON (USA-CA)</v>
          </cell>
        </row>
        <row r="2706">
          <cell r="P2706" t="str">
            <v>WILMINGTON (USA-DE)</v>
          </cell>
        </row>
        <row r="2707">
          <cell r="P2707" t="str">
            <v>WILMINGTON (USA-NC)</v>
          </cell>
        </row>
        <row r="2708">
          <cell r="P2708" t="str">
            <v>WISCASSET</v>
          </cell>
        </row>
        <row r="2709">
          <cell r="P2709" t="str">
            <v>WISMAR</v>
          </cell>
        </row>
        <row r="2710">
          <cell r="P2710" t="str">
            <v>WOODBRIDGE</v>
          </cell>
        </row>
        <row r="2711">
          <cell r="P2711" t="str">
            <v>WOODLANDS</v>
          </cell>
        </row>
        <row r="2712">
          <cell r="P2712" t="str">
            <v>WOOLLYBUTT</v>
          </cell>
        </row>
        <row r="2713">
          <cell r="P2713" t="str">
            <v>WOOLWICH</v>
          </cell>
        </row>
        <row r="2714">
          <cell r="P2714" t="str">
            <v>WORKINGTON</v>
          </cell>
        </row>
        <row r="2715">
          <cell r="P2715" t="str">
            <v>WYNDHAM</v>
          </cell>
        </row>
        <row r="2716">
          <cell r="P2716" t="str">
            <v>XEROS</v>
          </cell>
        </row>
        <row r="2717">
          <cell r="P2717" t="str">
            <v>XIAMEN</v>
          </cell>
        </row>
        <row r="2718">
          <cell r="P2718" t="str">
            <v>XIJIANG</v>
          </cell>
        </row>
        <row r="2719">
          <cell r="P2719" t="str">
            <v>XINGANG</v>
          </cell>
        </row>
        <row r="2720">
          <cell r="P2720" t="str">
            <v>YABUCOA</v>
          </cell>
        </row>
        <row r="2721">
          <cell r="P2721" t="str">
            <v>YAFO, ISRAEL</v>
          </cell>
        </row>
        <row r="2722">
          <cell r="P2722" t="str">
            <v>YALOVA</v>
          </cell>
        </row>
        <row r="2723">
          <cell r="P2723" t="str">
            <v>YALTA</v>
          </cell>
        </row>
        <row r="2724">
          <cell r="P2724" t="str">
            <v>YAMADA</v>
          </cell>
        </row>
        <row r="2725">
          <cell r="P2725" t="str">
            <v>YAMPI SOUND</v>
          </cell>
        </row>
        <row r="2726">
          <cell r="P2726" t="str">
            <v>YANBU</v>
          </cell>
        </row>
        <row r="2727">
          <cell r="P2727" t="str">
            <v>YANGON</v>
          </cell>
        </row>
        <row r="2728">
          <cell r="P2728" t="str">
            <v>YANGPU</v>
          </cell>
        </row>
        <row r="2729">
          <cell r="P2729" t="str">
            <v>YANTAI</v>
          </cell>
        </row>
        <row r="2730">
          <cell r="P2730" t="str">
            <v>YAP</v>
          </cell>
        </row>
        <row r="2731">
          <cell r="P2731" t="str">
            <v>YARIMCA</v>
          </cell>
        </row>
        <row r="2732">
          <cell r="P2732" t="str">
            <v>YARMOUTH (CAN)</v>
          </cell>
        </row>
        <row r="2733">
          <cell r="P2733" t="str">
            <v>YARMOUTH (UKE)</v>
          </cell>
        </row>
        <row r="2734">
          <cell r="P2734" t="str">
            <v>YARMOUTH (USA)</v>
          </cell>
        </row>
        <row r="2735">
          <cell r="P2735" t="str">
            <v>YEISK</v>
          </cell>
        </row>
        <row r="2736">
          <cell r="P2736" t="str">
            <v>YENBO</v>
          </cell>
        </row>
        <row r="2737">
          <cell r="P2737" t="str">
            <v>YING KOW</v>
          </cell>
        </row>
        <row r="2738">
          <cell r="P2738" t="str">
            <v>YINGKOU</v>
          </cell>
        </row>
        <row r="2739">
          <cell r="P2739" t="str">
            <v>YKSPIHLAJA</v>
          </cell>
        </row>
        <row r="2740">
          <cell r="P2740" t="str">
            <v>YMUIDEN</v>
          </cell>
        </row>
        <row r="2741">
          <cell r="P2741" t="str">
            <v>YOKKAICHI</v>
          </cell>
        </row>
        <row r="2742">
          <cell r="P2742" t="str">
            <v>YOKOHAMA</v>
          </cell>
        </row>
        <row r="2743">
          <cell r="P2743" t="str">
            <v>YOKOSHIMA</v>
          </cell>
        </row>
        <row r="2744">
          <cell r="P2744" t="str">
            <v>YOKOSUKA</v>
          </cell>
        </row>
        <row r="2745">
          <cell r="P2745" t="str">
            <v>YOMBO TERMINAL</v>
          </cell>
        </row>
        <row r="2746">
          <cell r="P2746" t="str">
            <v>YORKTOWN</v>
          </cell>
        </row>
        <row r="2747">
          <cell r="P2747" t="str">
            <v>YOSU</v>
          </cell>
        </row>
        <row r="2748">
          <cell r="P2748" t="str">
            <v>YUMURTALIK</v>
          </cell>
        </row>
        <row r="2749">
          <cell r="P2749" t="str">
            <v>YUMURTALIK BAY</v>
          </cell>
        </row>
        <row r="2750">
          <cell r="P2750" t="str">
            <v>YUNG AN LNG TERMINAL</v>
          </cell>
        </row>
        <row r="2751">
          <cell r="P2751" t="str">
            <v>YUZHNYY</v>
          </cell>
        </row>
        <row r="2752">
          <cell r="P2752" t="str">
            <v>YXPILA, FINLAND</v>
          </cell>
        </row>
        <row r="2753">
          <cell r="P2753" t="str">
            <v>ZAAFARANA TERMINAL, EGYPT</v>
          </cell>
        </row>
        <row r="2754">
          <cell r="P2754" t="str">
            <v>ZAANDAM</v>
          </cell>
        </row>
        <row r="2755">
          <cell r="P2755" t="str">
            <v>ZADAR</v>
          </cell>
        </row>
        <row r="2756">
          <cell r="P2756" t="str">
            <v>ZAFIRO TERMINAL, EQUATORIAL GUINEA</v>
          </cell>
        </row>
        <row r="2757">
          <cell r="P2757" t="str">
            <v>ZAHRANI</v>
          </cell>
        </row>
        <row r="2758">
          <cell r="P2758" t="str">
            <v>ZAMBOANGA</v>
          </cell>
        </row>
        <row r="2759">
          <cell r="P2759" t="str">
            <v>ZANTE</v>
          </cell>
        </row>
        <row r="2760">
          <cell r="P2760" t="str">
            <v>ZANZIBAR</v>
          </cell>
        </row>
        <row r="2761">
          <cell r="P2761" t="str">
            <v>ZARA</v>
          </cell>
        </row>
        <row r="2762">
          <cell r="P2762" t="str">
            <v>ZARATE</v>
          </cell>
        </row>
        <row r="2763">
          <cell r="P2763" t="str">
            <v>ZAWIA</v>
          </cell>
        </row>
        <row r="2764">
          <cell r="P2764" t="str">
            <v>ZEA ISLAND</v>
          </cell>
        </row>
        <row r="2765">
          <cell r="P2765" t="str">
            <v>ZEEBRUGGE</v>
          </cell>
        </row>
        <row r="2766">
          <cell r="P2766" t="str">
            <v>ZEIT BAY</v>
          </cell>
        </row>
        <row r="2767">
          <cell r="P2767" t="str">
            <v>ZELENIKA</v>
          </cell>
        </row>
        <row r="2768">
          <cell r="P2768" t="str">
            <v>ZELZATE</v>
          </cell>
        </row>
        <row r="2769">
          <cell r="P2769" t="str">
            <v>ZHANGJIAGANG</v>
          </cell>
        </row>
        <row r="2770">
          <cell r="P2770" t="str">
            <v>ZHANGZHOU</v>
          </cell>
        </row>
        <row r="2771">
          <cell r="P2771" t="str">
            <v>ZHANJIANG</v>
          </cell>
        </row>
        <row r="2772">
          <cell r="P2772" t="str">
            <v>ZHENJIANG</v>
          </cell>
        </row>
        <row r="2773">
          <cell r="P2773" t="str">
            <v>ZHOANOV</v>
          </cell>
        </row>
        <row r="2774">
          <cell r="P2774" t="str">
            <v>ZHUHAI</v>
          </cell>
        </row>
        <row r="2775">
          <cell r="P2775" t="str">
            <v>ZIRKU ISLAND</v>
          </cell>
        </row>
        <row r="2776">
          <cell r="P2776" t="str">
            <v>ZONA COMUN</v>
          </cell>
        </row>
        <row r="2777">
          <cell r="P2777" t="str">
            <v>ZONGULDAK</v>
          </cell>
        </row>
        <row r="2778">
          <cell r="P2778" t="str">
            <v>ZOUK</v>
          </cell>
        </row>
        <row r="2779">
          <cell r="P2779" t="str">
            <v>ZUEITINA</v>
          </cell>
        </row>
      </sheetData>
      <sheetData sheetId="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ON"/>
      <sheetName val="TERMINAL NFTI"/>
      <sheetName val="PROFORMA"/>
      <sheetName val="TPO"/>
      <sheetName val="PROFORMA 2"/>
      <sheetName val="ATLANTIQUE"/>
      <sheetName val="PROFORMA 3"/>
      <sheetName val="VCI"/>
      <sheetName val="CALCUL"/>
      <sheetName val="fleet"/>
      <sheetName val="ESTIMATION"/>
      <sheetName val="SYNTHESE"/>
      <sheetName val="DROIT PORT"/>
    </sheetNames>
    <sheetDataSet>
      <sheetData sheetId="0"/>
      <sheetData sheetId="1"/>
      <sheetData sheetId="2">
        <row r="23">
          <cell r="G23" t="str">
            <v>TOTAL FRET IMPORT</v>
          </cell>
        </row>
      </sheetData>
      <sheetData sheetId="3"/>
      <sheetData sheetId="4"/>
      <sheetData sheetId="5"/>
      <sheetData sheetId="6"/>
      <sheetData sheetId="7"/>
      <sheetData sheetId="8"/>
      <sheetData sheetId="9">
        <row r="1">
          <cell r="B1" t="str">
            <v>OPERATING FLEET</v>
          </cell>
        </row>
      </sheetData>
      <sheetData sheetId="10">
        <row r="2">
          <cell r="E2" t="str">
            <v>FAC.</v>
          </cell>
          <cell r="G2" t="str">
            <v>P</v>
          </cell>
          <cell r="H2">
            <v>0</v>
          </cell>
        </row>
        <row r="3">
          <cell r="E3" t="str">
            <v>ONCARRIAGE</v>
          </cell>
          <cell r="G3" t="str">
            <v>P</v>
          </cell>
          <cell r="H3">
            <v>0</v>
          </cell>
        </row>
        <row r="4">
          <cell r="E4" t="str">
            <v>ISPS</v>
          </cell>
          <cell r="G4" t="str">
            <v>P</v>
          </cell>
          <cell r="H4">
            <v>0</v>
          </cell>
        </row>
        <row r="27">
          <cell r="E27" t="str">
            <v>FAC.</v>
          </cell>
          <cell r="H27">
            <v>0</v>
          </cell>
        </row>
        <row r="28">
          <cell r="E28" t="str">
            <v>OVER FREIGHT SURCHARGE</v>
          </cell>
          <cell r="H28">
            <v>0</v>
          </cell>
        </row>
      </sheetData>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IRES"/>
      <sheetName val="heliard"/>
      <sheetName val="Eau navire &amp; Passerelle"/>
      <sheetName val="Feuil1"/>
      <sheetName val="REELLE BASE"/>
      <sheetName val="CARACTERISTIQUES NAVIRE"/>
      <sheetName val="CALCULAT"/>
      <sheetName val="FLEET"/>
      <sheetName val="Pilot-mooring-P.Dues-Towage"/>
      <sheetName val="CALCUL"/>
    </sheetNames>
    <sheetDataSet>
      <sheetData sheetId="0" refreshError="1">
        <row r="6">
          <cell r="A6">
            <v>1</v>
          </cell>
          <cell r="B6" t="str">
            <v>CUXHAVEN</v>
          </cell>
          <cell r="C6">
            <v>211.85</v>
          </cell>
          <cell r="D6">
            <v>29.8</v>
          </cell>
          <cell r="E6">
            <v>11.4</v>
          </cell>
          <cell r="F6">
            <v>11.123729050997245</v>
          </cell>
          <cell r="G6">
            <v>16.7</v>
          </cell>
          <cell r="H6">
            <v>34414</v>
          </cell>
          <cell r="I6">
            <v>27322</v>
          </cell>
          <cell r="J6">
            <v>12616</v>
          </cell>
          <cell r="K6">
            <v>71969.682000000001</v>
          </cell>
          <cell r="L6">
            <v>71986</v>
          </cell>
          <cell r="M6">
            <v>105429.27099999999</v>
          </cell>
          <cell r="N6">
            <v>71987</v>
          </cell>
          <cell r="O6">
            <v>1</v>
          </cell>
          <cell r="P6" t="str">
            <v>LIBERIA</v>
          </cell>
        </row>
        <row r="7">
          <cell r="A7">
            <v>2</v>
          </cell>
          <cell r="B7" t="str">
            <v>FLOTTBEK</v>
          </cell>
          <cell r="C7">
            <v>169</v>
          </cell>
          <cell r="D7">
            <v>27.2</v>
          </cell>
          <cell r="E7">
            <v>9</v>
          </cell>
          <cell r="F7">
            <v>9.491958701975058</v>
          </cell>
          <cell r="G7">
            <v>15.1</v>
          </cell>
          <cell r="H7">
            <v>16185</v>
          </cell>
          <cell r="I7">
            <v>16324</v>
          </cell>
          <cell r="J7">
            <v>6450</v>
          </cell>
          <cell r="K7">
            <v>43632.635761238947</v>
          </cell>
          <cell r="L7">
            <v>43670</v>
          </cell>
          <cell r="M7">
            <v>69411.680000000008</v>
          </cell>
          <cell r="N7">
            <v>43670</v>
          </cell>
          <cell r="O7">
            <v>2</v>
          </cell>
          <cell r="P7" t="str">
            <v>UNITED KINGDOMS</v>
          </cell>
        </row>
        <row r="8">
          <cell r="A8">
            <v>3</v>
          </cell>
          <cell r="B8" t="str">
            <v>HOLLAND MAAS ANTILLES</v>
          </cell>
          <cell r="C8">
            <v>133.94999999999999</v>
          </cell>
          <cell r="D8">
            <v>22.5</v>
          </cell>
          <cell r="E8">
            <v>8.6999999999999993</v>
          </cell>
          <cell r="F8">
            <v>7.6858278669249422</v>
          </cell>
          <cell r="H8">
            <v>11200</v>
          </cell>
          <cell r="I8">
            <v>8600</v>
          </cell>
          <cell r="J8">
            <v>6006</v>
          </cell>
          <cell r="K8">
            <v>26220.712499999994</v>
          </cell>
          <cell r="L8">
            <v>26699</v>
          </cell>
          <cell r="M8">
            <v>0</v>
          </cell>
          <cell r="N8">
            <v>26582</v>
          </cell>
          <cell r="O8">
            <v>1</v>
          </cell>
          <cell r="P8" t="str">
            <v>ANTIGUA</v>
          </cell>
        </row>
        <row r="9">
          <cell r="A9">
            <v>4</v>
          </cell>
          <cell r="B9" t="str">
            <v>HS SCOTT</v>
          </cell>
          <cell r="C9">
            <v>212.84</v>
          </cell>
          <cell r="D9">
            <v>32.24</v>
          </cell>
          <cell r="E9">
            <v>12.1</v>
          </cell>
          <cell r="F9">
            <v>11.597174110963413</v>
          </cell>
          <cell r="G9">
            <v>19</v>
          </cell>
          <cell r="H9">
            <v>38688</v>
          </cell>
          <cell r="I9">
            <v>32968</v>
          </cell>
          <cell r="J9">
            <v>12886</v>
          </cell>
          <cell r="K9">
            <v>83029.735360000006</v>
          </cell>
          <cell r="L9">
            <v>82226</v>
          </cell>
          <cell r="M9">
            <v>130377.27040000001</v>
          </cell>
          <cell r="N9">
            <v>82226</v>
          </cell>
          <cell r="O9">
            <v>1</v>
          </cell>
          <cell r="P9" t="str">
            <v>LIBERIA</v>
          </cell>
        </row>
        <row r="10">
          <cell r="A10">
            <v>5</v>
          </cell>
          <cell r="B10" t="str">
            <v>LAURA SCHULTE</v>
          </cell>
          <cell r="C10">
            <v>175.59</v>
          </cell>
          <cell r="D10">
            <v>27.4</v>
          </cell>
          <cell r="E10">
            <v>10.9</v>
          </cell>
          <cell r="F10">
            <v>9.7100000000000009</v>
          </cell>
          <cell r="G10">
            <v>14.3</v>
          </cell>
          <cell r="H10">
            <v>22507.3</v>
          </cell>
          <cell r="I10">
            <v>19109.71</v>
          </cell>
          <cell r="J10">
            <v>16179.59</v>
          </cell>
          <cell r="K10">
            <v>52442</v>
          </cell>
          <cell r="L10">
            <v>52442</v>
          </cell>
          <cell r="M10">
            <v>68800</v>
          </cell>
          <cell r="N10">
            <v>52442</v>
          </cell>
          <cell r="O10">
            <v>1</v>
          </cell>
          <cell r="P10" t="str">
            <v>LIBERIA</v>
          </cell>
        </row>
        <row r="11">
          <cell r="A11">
            <v>6</v>
          </cell>
          <cell r="B11" t="str">
            <v>LINCOLN</v>
          </cell>
          <cell r="C11">
            <v>217.11</v>
          </cell>
          <cell r="D11">
            <v>26.66</v>
          </cell>
          <cell r="E11">
            <v>9.3000000000000007</v>
          </cell>
          <cell r="F11">
            <v>10.65118730283155</v>
          </cell>
          <cell r="G11"/>
          <cell r="H11">
            <v>11460</v>
          </cell>
          <cell r="I11">
            <v>15675</v>
          </cell>
          <cell r="J11">
            <v>7450</v>
          </cell>
          <cell r="K11">
            <v>61650.69747997143</v>
          </cell>
          <cell r="L11">
            <v>62024</v>
          </cell>
          <cell r="M11">
            <v>0</v>
          </cell>
          <cell r="N11">
            <v>62023</v>
          </cell>
          <cell r="O11">
            <v>1</v>
          </cell>
          <cell r="P11" t="str">
            <v>BAHAMAS</v>
          </cell>
        </row>
        <row r="12">
          <cell r="A12">
            <v>7</v>
          </cell>
          <cell r="B12" t="str">
            <v>M/V EURO DISCOVERY</v>
          </cell>
          <cell r="C12">
            <v>137.76</v>
          </cell>
          <cell r="D12">
            <v>21.7</v>
          </cell>
          <cell r="E12">
            <v>7.7539999999999996</v>
          </cell>
          <cell r="F12">
            <v>7.65454657050305</v>
          </cell>
          <cell r="H12">
            <v>10408</v>
          </cell>
          <cell r="I12">
            <v>7950</v>
          </cell>
          <cell r="J12">
            <v>4300</v>
          </cell>
          <cell r="K12">
            <v>23179.745567999998</v>
          </cell>
          <cell r="L12">
            <v>23391</v>
          </cell>
          <cell r="M12">
            <v>0</v>
          </cell>
          <cell r="N12">
            <v>23392</v>
          </cell>
          <cell r="O12">
            <v>1</v>
          </cell>
          <cell r="P12" t="str">
            <v>UNITED KINGDOMS</v>
          </cell>
        </row>
        <row r="13">
          <cell r="A13">
            <v>8</v>
          </cell>
          <cell r="B13" t="str">
            <v>M/V GERD</v>
          </cell>
          <cell r="C13">
            <v>134.62</v>
          </cell>
          <cell r="D13">
            <v>21.75</v>
          </cell>
          <cell r="E13">
            <v>7.1</v>
          </cell>
          <cell r="F13">
            <v>7.5755201801592484</v>
          </cell>
          <cell r="H13">
            <v>9480</v>
          </cell>
          <cell r="I13">
            <v>7660</v>
          </cell>
          <cell r="J13">
            <v>4200</v>
          </cell>
          <cell r="K13">
            <v>22181.009454703577</v>
          </cell>
          <cell r="L13">
            <v>21721</v>
          </cell>
          <cell r="M13">
            <v>0</v>
          </cell>
          <cell r="N13">
            <v>21720</v>
          </cell>
          <cell r="O13">
            <v>0</v>
          </cell>
          <cell r="P13" t="str">
            <v>ANTIGUA BARBUDA</v>
          </cell>
        </row>
        <row r="14">
          <cell r="A14">
            <v>9</v>
          </cell>
          <cell r="B14" t="str">
            <v>M/V SAN FERNANDO</v>
          </cell>
          <cell r="C14">
            <v>166.62</v>
          </cell>
          <cell r="D14">
            <v>27.4</v>
          </cell>
          <cell r="E14">
            <v>9.625</v>
          </cell>
          <cell r="F14">
            <v>9.4594716977218134</v>
          </cell>
          <cell r="G14">
            <v>13.2</v>
          </cell>
          <cell r="H14">
            <v>20050</v>
          </cell>
          <cell r="I14">
            <v>15859</v>
          </cell>
          <cell r="J14">
            <v>8023</v>
          </cell>
          <cell r="K14">
            <v>43941.859499999999</v>
          </cell>
          <cell r="L14">
            <v>43875</v>
          </cell>
          <cell r="M14">
            <v>60263.121599999999</v>
          </cell>
          <cell r="N14">
            <v>43822</v>
          </cell>
          <cell r="O14">
            <v>1</v>
          </cell>
          <cell r="P14" t="str">
            <v>GERMAN</v>
          </cell>
        </row>
        <row r="15">
          <cell r="A15">
            <v>10</v>
          </cell>
          <cell r="B15" t="str">
            <v>MSC ALABAMA</v>
          </cell>
          <cell r="C15">
            <v>242.81</v>
          </cell>
          <cell r="D15">
            <v>32.200000000000003</v>
          </cell>
          <cell r="E15">
            <v>11.717000000000001</v>
          </cell>
          <cell r="F15">
            <v>12.379105266536836</v>
          </cell>
          <cell r="G15">
            <v>19</v>
          </cell>
          <cell r="H15">
            <v>42979.9</v>
          </cell>
          <cell r="I15">
            <v>37518</v>
          </cell>
          <cell r="J15">
            <v>20448</v>
          </cell>
          <cell r="K15">
            <v>96785.811702523468</v>
          </cell>
          <cell r="L15">
            <v>97246</v>
          </cell>
          <cell r="M15">
            <v>148551.15800000002</v>
          </cell>
          <cell r="N15">
            <v>96945</v>
          </cell>
          <cell r="O15">
            <v>1</v>
          </cell>
          <cell r="P15" t="str">
            <v>PANAMA</v>
          </cell>
        </row>
        <row r="16">
          <cell r="A16">
            <v>11</v>
          </cell>
          <cell r="B16" t="str">
            <v>MSC ALESSIA</v>
          </cell>
          <cell r="C16">
            <v>304</v>
          </cell>
          <cell r="D16">
            <v>40</v>
          </cell>
          <cell r="E16">
            <v>14.5</v>
          </cell>
          <cell r="F16">
            <v>15.43813460234105</v>
          </cell>
          <cell r="G16">
            <v>24.2</v>
          </cell>
          <cell r="H16">
            <v>85891</v>
          </cell>
          <cell r="I16">
            <v>75590</v>
          </cell>
          <cell r="J16">
            <v>42233</v>
          </cell>
          <cell r="K16">
            <v>187727.71676446716</v>
          </cell>
          <cell r="L16">
            <v>187264</v>
          </cell>
          <cell r="M16">
            <v>294272</v>
          </cell>
          <cell r="N16"/>
          <cell r="O16">
            <v>2</v>
          </cell>
          <cell r="P16" t="str">
            <v>GERMAN</v>
          </cell>
        </row>
        <row r="17">
          <cell r="A17">
            <v>12</v>
          </cell>
          <cell r="B17" t="str">
            <v>MSC ALEXA</v>
          </cell>
          <cell r="C17">
            <v>244.2</v>
          </cell>
          <cell r="D17">
            <v>32.25</v>
          </cell>
          <cell r="E17">
            <v>13.7</v>
          </cell>
          <cell r="F17">
            <v>12.4241225042254</v>
          </cell>
          <cell r="G17">
            <v>21.5</v>
          </cell>
          <cell r="H17">
            <v>51000</v>
          </cell>
          <cell r="I17">
            <v>42307</v>
          </cell>
          <cell r="J17">
            <v>22638</v>
          </cell>
          <cell r="K17">
            <v>107893.66499999999</v>
          </cell>
          <cell r="L17">
            <v>108061</v>
          </cell>
          <cell r="M17">
            <v>169322.17499999999</v>
          </cell>
          <cell r="N17">
            <v>108061</v>
          </cell>
          <cell r="O17">
            <v>1</v>
          </cell>
          <cell r="P17" t="str">
            <v>PANAMA</v>
          </cell>
        </row>
        <row r="18">
          <cell r="A18">
            <v>13</v>
          </cell>
          <cell r="B18" t="str">
            <v>MSC ALYSSA</v>
          </cell>
          <cell r="C18">
            <v>273.7</v>
          </cell>
          <cell r="D18">
            <v>32.200000000000003</v>
          </cell>
          <cell r="E18">
            <v>13.02</v>
          </cell>
          <cell r="F18">
            <v>13.14296557098131</v>
          </cell>
          <cell r="G18">
            <v>19</v>
          </cell>
          <cell r="H18">
            <v>61468</v>
          </cell>
          <cell r="I18">
            <v>43575</v>
          </cell>
          <cell r="J18">
            <v>25945</v>
          </cell>
          <cell r="K18">
            <v>115830.79559223824</v>
          </cell>
          <cell r="L18">
            <v>115452</v>
          </cell>
          <cell r="M18">
            <v>167449.66000000003</v>
          </cell>
          <cell r="N18">
            <v>115452</v>
          </cell>
          <cell r="O18">
            <v>1</v>
          </cell>
          <cell r="P18" t="str">
            <v>PANAMA</v>
          </cell>
        </row>
        <row r="19">
          <cell r="A19">
            <v>14</v>
          </cell>
          <cell r="B19" t="str">
            <v>MSC AMERICA</v>
          </cell>
          <cell r="C19">
            <v>216.01</v>
          </cell>
          <cell r="D19">
            <v>32.200000000000003</v>
          </cell>
          <cell r="E19">
            <v>12.51</v>
          </cell>
          <cell r="F19">
            <v>11.675968105472027</v>
          </cell>
          <cell r="G19">
            <v>19.399999999999999</v>
          </cell>
          <cell r="H19">
            <v>45696</v>
          </cell>
          <cell r="I19">
            <v>34231</v>
          </cell>
          <cell r="J19">
            <v>16058</v>
          </cell>
          <cell r="K19">
            <v>87013.580220000003</v>
          </cell>
          <cell r="L19">
            <v>87020</v>
          </cell>
          <cell r="M19">
            <v>134937.1268</v>
          </cell>
          <cell r="N19">
            <v>86819</v>
          </cell>
          <cell r="O19">
            <v>1</v>
          </cell>
          <cell r="P19" t="str">
            <v>PANAMA</v>
          </cell>
        </row>
        <row r="20">
          <cell r="A20">
            <v>15</v>
          </cell>
          <cell r="B20" t="str">
            <v>MSC ANIELLO</v>
          </cell>
          <cell r="C20">
            <v>259.5</v>
          </cell>
          <cell r="D20">
            <v>32.200000000000003</v>
          </cell>
          <cell r="E20">
            <v>13.02</v>
          </cell>
          <cell r="F20">
            <v>12.797485690556565</v>
          </cell>
          <cell r="G20">
            <v>19</v>
          </cell>
          <cell r="H20">
            <v>56916</v>
          </cell>
          <cell r="I20">
            <v>40631</v>
          </cell>
          <cell r="J20">
            <v>23676</v>
          </cell>
          <cell r="K20">
            <v>108793.81800000001</v>
          </cell>
          <cell r="L20">
            <v>108627</v>
          </cell>
          <cell r="M20">
            <v>158762.10000000003</v>
          </cell>
          <cell r="N20">
            <v>108794</v>
          </cell>
          <cell r="O20">
            <v>1</v>
          </cell>
          <cell r="P20" t="str">
            <v>PANAMA</v>
          </cell>
        </row>
        <row r="21">
          <cell r="A21">
            <v>16</v>
          </cell>
          <cell r="B21" t="str">
            <v>MSC ANTWERP</v>
          </cell>
          <cell r="C21">
            <v>288.31</v>
          </cell>
          <cell r="D21">
            <v>32.29</v>
          </cell>
          <cell r="E21">
            <v>13.02</v>
          </cell>
          <cell r="F21">
            <v>13.508026726357926</v>
          </cell>
          <cell r="G21">
            <v>21.5</v>
          </cell>
          <cell r="H21">
            <v>59567</v>
          </cell>
          <cell r="I21">
            <v>50501</v>
          </cell>
          <cell r="J21">
            <v>21795</v>
          </cell>
          <cell r="K21">
            <v>125753.37869902822</v>
          </cell>
          <cell r="L21">
            <v>125713</v>
          </cell>
          <cell r="M21">
            <v>200154.89285</v>
          </cell>
          <cell r="N21">
            <v>125324</v>
          </cell>
          <cell r="O21">
            <v>1</v>
          </cell>
          <cell r="P21" t="str">
            <v>HONG KONG</v>
          </cell>
        </row>
        <row r="22">
          <cell r="A22">
            <v>17</v>
          </cell>
          <cell r="B22" t="str">
            <v>MSC ASLI</v>
          </cell>
          <cell r="C22">
            <v>217.11</v>
          </cell>
          <cell r="D22">
            <v>26.66</v>
          </cell>
          <cell r="E22">
            <v>9.3000000000000007</v>
          </cell>
          <cell r="F22">
            <v>10.65118730283155</v>
          </cell>
          <cell r="G22"/>
          <cell r="H22">
            <v>11460</v>
          </cell>
          <cell r="I22">
            <v>15675</v>
          </cell>
          <cell r="J22">
            <v>7450</v>
          </cell>
          <cell r="K22">
            <v>61650.69747997143</v>
          </cell>
          <cell r="L22">
            <v>62024</v>
          </cell>
          <cell r="M22">
            <v>0</v>
          </cell>
          <cell r="N22">
            <v>62023</v>
          </cell>
          <cell r="O22">
            <v>1</v>
          </cell>
          <cell r="P22" t="str">
            <v>PANAMA</v>
          </cell>
        </row>
        <row r="23">
          <cell r="A23">
            <v>18</v>
          </cell>
          <cell r="B23" t="str">
            <v>MSC ASTRID</v>
          </cell>
          <cell r="C23">
            <v>230.9</v>
          </cell>
          <cell r="D23">
            <v>32.200000000000003</v>
          </cell>
          <cell r="E23">
            <v>12</v>
          </cell>
          <cell r="F23">
            <v>12.071686211958959</v>
          </cell>
          <cell r="G23">
            <v>18.8</v>
          </cell>
          <cell r="H23">
            <v>42183</v>
          </cell>
          <cell r="I23">
            <v>35954</v>
          </cell>
          <cell r="J23">
            <v>15938</v>
          </cell>
          <cell r="K23">
            <v>89752.745552190623</v>
          </cell>
          <cell r="L23">
            <v>89964</v>
          </cell>
          <cell r="M23">
            <v>139777.62400000001</v>
          </cell>
          <cell r="N23">
            <v>90002</v>
          </cell>
          <cell r="O23">
            <v>1</v>
          </cell>
          <cell r="P23" t="str">
            <v>PANAMA</v>
          </cell>
        </row>
        <row r="24">
          <cell r="A24">
            <v>19</v>
          </cell>
          <cell r="B24" t="str">
            <v>MSC AUSTRIA</v>
          </cell>
          <cell r="C24">
            <v>240.52</v>
          </cell>
          <cell r="D24">
            <v>32.26</v>
          </cell>
          <cell r="E24">
            <v>11.02</v>
          </cell>
          <cell r="F24">
            <v>12.332065273910937</v>
          </cell>
          <cell r="G24">
            <v>18.850000000000001</v>
          </cell>
          <cell r="H24">
            <v>45119</v>
          </cell>
          <cell r="I24">
            <v>38991</v>
          </cell>
          <cell r="J24">
            <v>13039</v>
          </cell>
          <cell r="K24">
            <v>95686.655038110941</v>
          </cell>
          <cell r="L24">
            <v>95549</v>
          </cell>
          <cell r="M24">
            <v>146260.45251999999</v>
          </cell>
          <cell r="N24">
            <v>95252</v>
          </cell>
          <cell r="O24">
            <v>1</v>
          </cell>
          <cell r="P24" t="str">
            <v>LIBERIA</v>
          </cell>
        </row>
        <row r="25">
          <cell r="A25">
            <v>20</v>
          </cell>
          <cell r="B25" t="str">
            <v>MSC BASEL</v>
          </cell>
          <cell r="C25">
            <v>215.87</v>
          </cell>
          <cell r="D25">
            <v>32.24</v>
          </cell>
          <cell r="E25">
            <v>12.51</v>
          </cell>
          <cell r="F25">
            <v>11.679431342321424</v>
          </cell>
          <cell r="G25">
            <v>19.399999999999999</v>
          </cell>
          <cell r="H25">
            <v>45696</v>
          </cell>
          <cell r="I25">
            <v>34231</v>
          </cell>
          <cell r="J25">
            <v>16058</v>
          </cell>
          <cell r="K25">
            <v>87065.206488000011</v>
          </cell>
          <cell r="L25">
            <v>87020</v>
          </cell>
          <cell r="M25">
            <v>135017.18672</v>
          </cell>
          <cell r="N25">
            <v>86900</v>
          </cell>
          <cell r="O25">
            <v>1</v>
          </cell>
          <cell r="P25" t="str">
            <v>LIBERIA</v>
          </cell>
        </row>
        <row r="26">
          <cell r="A26">
            <v>21</v>
          </cell>
          <cell r="B26" t="str">
            <v>MSC BISCAY</v>
          </cell>
          <cell r="C26">
            <v>149.63999999999999</v>
          </cell>
          <cell r="D26">
            <v>22.3</v>
          </cell>
          <cell r="E26">
            <v>8.27</v>
          </cell>
          <cell r="F26">
            <v>8.0873142142493766</v>
          </cell>
          <cell r="G26">
            <v>11.1</v>
          </cell>
          <cell r="H26">
            <v>12500</v>
          </cell>
          <cell r="I26">
            <v>9616</v>
          </cell>
          <cell r="J26">
            <v>4889</v>
          </cell>
          <cell r="K26">
            <v>27596.758439999998</v>
          </cell>
          <cell r="L26">
            <v>27690</v>
          </cell>
          <cell r="M26">
            <v>37040.389199999998</v>
          </cell>
          <cell r="N26">
            <v>27708</v>
          </cell>
          <cell r="O26">
            <v>1</v>
          </cell>
          <cell r="P26" t="str">
            <v>ANTIGUA BARBUDA</v>
          </cell>
        </row>
        <row r="27">
          <cell r="A27">
            <v>22</v>
          </cell>
          <cell r="B27" t="str">
            <v>MSC BOSTON</v>
          </cell>
          <cell r="C27">
            <v>242</v>
          </cell>
          <cell r="D27">
            <v>32.24</v>
          </cell>
          <cell r="E27">
            <v>12.46</v>
          </cell>
          <cell r="F27">
            <v>12.366113698328997</v>
          </cell>
          <cell r="G27">
            <v>23</v>
          </cell>
          <cell r="H27">
            <v>41570</v>
          </cell>
          <cell r="I27">
            <v>12323</v>
          </cell>
          <cell r="J27">
            <v>17675</v>
          </cell>
          <cell r="K27">
            <v>97213.916800000021</v>
          </cell>
          <cell r="L27">
            <v>97405</v>
          </cell>
          <cell r="M27">
            <v>179447.84000000003</v>
          </cell>
          <cell r="N27">
            <v>96865</v>
          </cell>
          <cell r="O27">
            <v>1</v>
          </cell>
          <cell r="P27" t="str">
            <v>PANAMA</v>
          </cell>
        </row>
        <row r="28">
          <cell r="A28">
            <v>23</v>
          </cell>
          <cell r="B28" t="str">
            <v>MSC BRASILIA</v>
          </cell>
          <cell r="C28">
            <v>241.1</v>
          </cell>
          <cell r="D28">
            <v>32.29</v>
          </cell>
          <cell r="E28">
            <v>11.73</v>
          </cell>
          <cell r="F28">
            <v>12.352664991814521</v>
          </cell>
          <cell r="G28">
            <v>19.3</v>
          </cell>
          <cell r="H28">
            <v>43270</v>
          </cell>
          <cell r="I28">
            <v>35598</v>
          </cell>
          <cell r="J28">
            <v>14726</v>
          </cell>
          <cell r="K28">
            <v>96166.966928410067</v>
          </cell>
          <cell r="L28">
            <v>95786</v>
          </cell>
          <cell r="M28">
            <v>150252.79670000001</v>
          </cell>
          <cell r="N28">
            <v>95530</v>
          </cell>
          <cell r="O28">
            <v>1</v>
          </cell>
          <cell r="P28" t="str">
            <v>PANAMA</v>
          </cell>
        </row>
        <row r="29">
          <cell r="A29">
            <v>24</v>
          </cell>
          <cell r="B29" t="str">
            <v>MSC BRIANNA</v>
          </cell>
          <cell r="C29">
            <v>244</v>
          </cell>
          <cell r="D29">
            <v>32.26</v>
          </cell>
          <cell r="E29">
            <v>12.52</v>
          </cell>
          <cell r="F29">
            <v>12.420959061199744</v>
          </cell>
          <cell r="G29">
            <v>21.4</v>
          </cell>
          <cell r="H29">
            <v>43403</v>
          </cell>
          <cell r="I29">
            <v>40177</v>
          </cell>
          <cell r="J29">
            <v>22262</v>
          </cell>
          <cell r="K29">
            <v>98550.428799999994</v>
          </cell>
          <cell r="L29">
            <v>98515</v>
          </cell>
          <cell r="M29">
            <v>168448.81599999999</v>
          </cell>
          <cell r="N29">
            <v>98210</v>
          </cell>
          <cell r="O29">
            <v>1</v>
          </cell>
          <cell r="P29" t="str">
            <v>PANAMA</v>
          </cell>
        </row>
        <row r="30">
          <cell r="A30">
            <v>25</v>
          </cell>
          <cell r="B30" t="str">
            <v>MSC CARINA</v>
          </cell>
          <cell r="C30">
            <v>249</v>
          </cell>
          <cell r="D30">
            <v>32.200000000000003</v>
          </cell>
          <cell r="E30">
            <v>12.535</v>
          </cell>
          <cell r="F30">
            <v>12.535903637153567</v>
          </cell>
          <cell r="G30">
            <v>21.1</v>
          </cell>
          <cell r="H30">
            <v>45743</v>
          </cell>
          <cell r="I30">
            <v>42260</v>
          </cell>
          <cell r="J30">
            <v>22747</v>
          </cell>
          <cell r="K30">
            <v>100510.36818196988</v>
          </cell>
          <cell r="L30">
            <v>101338</v>
          </cell>
          <cell r="M30">
            <v>169175.58000000005</v>
          </cell>
          <cell r="N30">
            <v>100223</v>
          </cell>
          <cell r="O30">
            <v>1</v>
          </cell>
          <cell r="P30" t="str">
            <v>PANAMA</v>
          </cell>
        </row>
        <row r="31">
          <cell r="A31">
            <v>26</v>
          </cell>
          <cell r="B31" t="str">
            <v>MSC CARLA</v>
          </cell>
          <cell r="C31">
            <v>241.1</v>
          </cell>
          <cell r="D31">
            <v>32.200000000000003</v>
          </cell>
          <cell r="E31">
            <v>11.9</v>
          </cell>
          <cell r="F31">
            <v>12.33543805464565</v>
          </cell>
          <cell r="G31">
            <v>19</v>
          </cell>
          <cell r="H31">
            <v>44552</v>
          </cell>
          <cell r="I31">
            <v>35953</v>
          </cell>
          <cell r="J31">
            <v>14861</v>
          </cell>
          <cell r="K31">
            <v>95765.186502197132</v>
          </cell>
          <cell r="L31">
            <v>95786</v>
          </cell>
          <cell r="M31">
            <v>147504.98000000001</v>
          </cell>
          <cell r="N31">
            <v>95490</v>
          </cell>
          <cell r="O31">
            <v>1</v>
          </cell>
          <cell r="P31" t="str">
            <v>PANAMA</v>
          </cell>
        </row>
        <row r="32">
          <cell r="A32">
            <v>27</v>
          </cell>
          <cell r="B32" t="str">
            <v>MSC CHRISTINA</v>
          </cell>
          <cell r="C32">
            <v>242.83</v>
          </cell>
          <cell r="D32">
            <v>32.26</v>
          </cell>
          <cell r="E32">
            <v>12.12</v>
          </cell>
          <cell r="F32">
            <v>12.391143517851773</v>
          </cell>
          <cell r="G32">
            <v>19</v>
          </cell>
          <cell r="H32">
            <v>42954</v>
          </cell>
          <cell r="I32">
            <v>37579</v>
          </cell>
          <cell r="J32">
            <v>21891</v>
          </cell>
          <cell r="K32">
            <v>97068.448932992658</v>
          </cell>
          <cell r="L32">
            <v>97246</v>
          </cell>
          <cell r="M32">
            <v>148840.22019999998</v>
          </cell>
          <cell r="N32">
            <v>96945</v>
          </cell>
          <cell r="O32">
            <v>1</v>
          </cell>
          <cell r="P32" t="str">
            <v>PANAMA</v>
          </cell>
        </row>
        <row r="33">
          <cell r="A33">
            <v>28</v>
          </cell>
          <cell r="B33" t="str">
            <v>MSC CLARA</v>
          </cell>
          <cell r="C33">
            <v>244</v>
          </cell>
          <cell r="D33">
            <v>32.200000000000003</v>
          </cell>
          <cell r="E33">
            <v>12.52</v>
          </cell>
          <cell r="F33">
            <v>12.409402886521173</v>
          </cell>
          <cell r="G33">
            <v>21.4</v>
          </cell>
          <cell r="H33">
            <v>43567</v>
          </cell>
          <cell r="I33">
            <v>39892</v>
          </cell>
          <cell r="J33">
            <v>22262</v>
          </cell>
          <cell r="K33">
            <v>98367.136000000013</v>
          </cell>
          <cell r="L33">
            <v>98515</v>
          </cell>
          <cell r="M33">
            <v>168135.52000000002</v>
          </cell>
          <cell r="N33">
            <v>98210</v>
          </cell>
          <cell r="O33">
            <v>1</v>
          </cell>
          <cell r="P33" t="str">
            <v>PANAMA</v>
          </cell>
        </row>
        <row r="34">
          <cell r="A34">
            <v>29</v>
          </cell>
          <cell r="B34" t="str">
            <v>MSC CLEMENTINA</v>
          </cell>
          <cell r="C34">
            <v>244</v>
          </cell>
          <cell r="D34">
            <v>32.26</v>
          </cell>
          <cell r="E34">
            <v>12.52</v>
          </cell>
          <cell r="F34">
            <v>12.420959061199744</v>
          </cell>
          <cell r="G34">
            <v>21.4</v>
          </cell>
          <cell r="H34">
            <v>43567</v>
          </cell>
          <cell r="I34">
            <v>39892</v>
          </cell>
          <cell r="J34">
            <v>22262</v>
          </cell>
          <cell r="K34">
            <v>98550.428799999994</v>
          </cell>
          <cell r="L34">
            <v>98515</v>
          </cell>
          <cell r="M34">
            <v>168448.81599999999</v>
          </cell>
          <cell r="N34">
            <v>98210</v>
          </cell>
          <cell r="O34">
            <v>1</v>
          </cell>
          <cell r="P34" t="str">
            <v>PANAMA</v>
          </cell>
        </row>
        <row r="35">
          <cell r="A35">
            <v>30</v>
          </cell>
          <cell r="B35" t="str">
            <v>MSC COIMBRA</v>
          </cell>
          <cell r="C35">
            <v>151.5</v>
          </cell>
          <cell r="D35">
            <v>24</v>
          </cell>
          <cell r="E35">
            <v>8.32</v>
          </cell>
          <cell r="F35">
            <v>8.4418955217415483</v>
          </cell>
          <cell r="G35">
            <v>11.1</v>
          </cell>
          <cell r="H35">
            <v>13700</v>
          </cell>
          <cell r="I35">
            <v>10925</v>
          </cell>
          <cell r="J35">
            <v>5548</v>
          </cell>
          <cell r="K35">
            <v>30694.73211705227</v>
          </cell>
          <cell r="L35">
            <v>30542</v>
          </cell>
          <cell r="M35">
            <v>40359.599999999999</v>
          </cell>
          <cell r="N35">
            <v>30542</v>
          </cell>
          <cell r="O35">
            <v>1</v>
          </cell>
          <cell r="P35" t="str">
            <v>LIBERIA</v>
          </cell>
        </row>
        <row r="36">
          <cell r="A36">
            <v>31</v>
          </cell>
          <cell r="B36" t="str">
            <v>MSC CORSICA</v>
          </cell>
          <cell r="C36">
            <v>204</v>
          </cell>
          <cell r="D36">
            <v>30.8</v>
          </cell>
          <cell r="E36">
            <v>11</v>
          </cell>
          <cell r="F36">
            <v>11.097329408465805</v>
          </cell>
          <cell r="G36">
            <v>15.6</v>
          </cell>
          <cell r="H36">
            <v>27630</v>
          </cell>
          <cell r="I36">
            <v>27994</v>
          </cell>
          <cell r="J36">
            <v>13241</v>
          </cell>
          <cell r="K36">
            <v>69726.74013927234</v>
          </cell>
          <cell r="L36">
            <v>70196</v>
          </cell>
          <cell r="M36">
            <v>98017.919999999998</v>
          </cell>
          <cell r="N36">
            <v>70347</v>
          </cell>
          <cell r="O36">
            <v>0</v>
          </cell>
          <cell r="P36" t="str">
            <v>MARSHALL ISLANDS</v>
          </cell>
        </row>
        <row r="37">
          <cell r="A37">
            <v>32</v>
          </cell>
          <cell r="B37" t="str">
            <v>MSC DARWIN</v>
          </cell>
          <cell r="C37">
            <v>293.5</v>
          </cell>
          <cell r="D37">
            <v>32.200000000000003</v>
          </cell>
          <cell r="E37">
            <v>13.022</v>
          </cell>
          <cell r="F37">
            <v>13.610059514932329</v>
          </cell>
          <cell r="G37">
            <v>18.420000000000002</v>
          </cell>
          <cell r="H37">
            <v>60278.6</v>
          </cell>
          <cell r="I37">
            <v>51931</v>
          </cell>
          <cell r="J37">
            <v>28073</v>
          </cell>
          <cell r="K37">
            <v>128624.58945777097</v>
          </cell>
          <cell r="L37">
            <v>129105</v>
          </cell>
          <cell r="M37">
            <v>174081.89400000003</v>
          </cell>
          <cell r="N37">
            <v>128530</v>
          </cell>
          <cell r="O37">
            <v>1</v>
          </cell>
          <cell r="P37" t="str">
            <v>ROYAUME UNI</v>
          </cell>
        </row>
        <row r="38">
          <cell r="A38">
            <v>33</v>
          </cell>
          <cell r="B38" t="str">
            <v>MSC DENISSE</v>
          </cell>
          <cell r="C38">
            <v>203.89</v>
          </cell>
          <cell r="D38">
            <v>30.99</v>
          </cell>
          <cell r="E38">
            <v>10.029999999999999</v>
          </cell>
          <cell r="F38">
            <v>11.128504012669449</v>
          </cell>
          <cell r="G38">
            <v>18.8</v>
          </cell>
          <cell r="H38">
            <v>27300</v>
          </cell>
          <cell r="I38">
            <v>28176</v>
          </cell>
          <cell r="J38">
            <v>13701</v>
          </cell>
          <cell r="K38">
            <v>70316.021270606958</v>
          </cell>
          <cell r="L38">
            <v>70162</v>
          </cell>
          <cell r="M38">
            <v>118788.76067999999</v>
          </cell>
          <cell r="N38">
            <v>69744</v>
          </cell>
          <cell r="O38">
            <v>1</v>
          </cell>
          <cell r="P38" t="str">
            <v>PANAMA</v>
          </cell>
        </row>
        <row r="39">
          <cell r="A39">
            <v>34</v>
          </cell>
          <cell r="B39" t="str">
            <v>MSC DIDEM</v>
          </cell>
          <cell r="C39">
            <v>241.1</v>
          </cell>
          <cell r="D39">
            <v>32.200000000000003</v>
          </cell>
          <cell r="E39">
            <v>11.73</v>
          </cell>
          <cell r="F39">
            <v>12.33543805464565</v>
          </cell>
          <cell r="G39">
            <v>19</v>
          </cell>
          <cell r="H39">
            <v>43066</v>
          </cell>
          <cell r="I39">
            <v>25598</v>
          </cell>
          <cell r="J39">
            <v>14762</v>
          </cell>
          <cell r="K39">
            <v>95765.186502197132</v>
          </cell>
          <cell r="L39">
            <v>95786</v>
          </cell>
          <cell r="M39">
            <v>147504.98000000001</v>
          </cell>
          <cell r="N39">
            <v>95490</v>
          </cell>
          <cell r="O39">
            <v>1</v>
          </cell>
          <cell r="P39" t="str">
            <v>PANAMA</v>
          </cell>
        </row>
        <row r="40">
          <cell r="A40">
            <v>35</v>
          </cell>
          <cell r="B40" t="str">
            <v>MSC DIEGO</v>
          </cell>
          <cell r="C40">
            <v>259.5</v>
          </cell>
          <cell r="D40">
            <v>32.200000000000003</v>
          </cell>
          <cell r="E40">
            <v>13.02</v>
          </cell>
          <cell r="F40">
            <v>12.797485690556565</v>
          </cell>
          <cell r="G40">
            <v>19</v>
          </cell>
          <cell r="H40">
            <v>56889</v>
          </cell>
          <cell r="I40">
            <v>40631</v>
          </cell>
          <cell r="J40">
            <v>23676</v>
          </cell>
          <cell r="K40">
            <v>108793.81800000001</v>
          </cell>
          <cell r="L40">
            <v>108627</v>
          </cell>
          <cell r="M40">
            <v>158762.10000000003</v>
          </cell>
          <cell r="N40">
            <v>108669</v>
          </cell>
          <cell r="O40">
            <v>1</v>
          </cell>
          <cell r="P40" t="str">
            <v>PANAMA</v>
          </cell>
        </row>
        <row r="41">
          <cell r="A41">
            <v>36</v>
          </cell>
          <cell r="B41" t="str">
            <v>MSC DON GIOVANNI</v>
          </cell>
          <cell r="C41">
            <v>202.8</v>
          </cell>
          <cell r="D41">
            <v>30.6</v>
          </cell>
          <cell r="E41">
            <v>11.95</v>
          </cell>
          <cell r="F41">
            <v>11.02865939269139</v>
          </cell>
          <cell r="G41">
            <v>16</v>
          </cell>
          <cell r="H41">
            <v>41583</v>
          </cell>
          <cell r="I41">
            <v>29181</v>
          </cell>
          <cell r="J41">
            <v>14502</v>
          </cell>
          <cell r="K41">
            <v>74157.876000000004</v>
          </cell>
          <cell r="L41">
            <v>73848</v>
          </cell>
          <cell r="M41">
            <v>99290.880000000005</v>
          </cell>
          <cell r="N41">
            <v>74468</v>
          </cell>
          <cell r="O41">
            <v>1</v>
          </cell>
          <cell r="P41" t="str">
            <v>PANAMA</v>
          </cell>
        </row>
        <row r="42">
          <cell r="A42">
            <v>37</v>
          </cell>
          <cell r="B42" t="str">
            <v>MSC DONATA</v>
          </cell>
          <cell r="C42">
            <v>257.87</v>
          </cell>
          <cell r="D42">
            <v>32.25</v>
          </cell>
          <cell r="E42">
            <v>12.66</v>
          </cell>
          <cell r="F42">
            <v>12.767130726987956</v>
          </cell>
          <cell r="G42">
            <v>19.3</v>
          </cell>
          <cell r="H42">
            <v>50940</v>
          </cell>
          <cell r="I42">
            <v>40108</v>
          </cell>
          <cell r="J42">
            <v>24680</v>
          </cell>
          <cell r="K42">
            <v>106175.3850183304</v>
          </cell>
          <cell r="L42">
            <v>106627</v>
          </cell>
          <cell r="M42">
            <v>160504.73475000003</v>
          </cell>
          <cell r="N42">
            <v>106626</v>
          </cell>
          <cell r="O42">
            <v>1</v>
          </cell>
          <cell r="P42" t="str">
            <v>PANAMA</v>
          </cell>
        </row>
        <row r="43">
          <cell r="A43">
            <v>38</v>
          </cell>
          <cell r="B43" t="str">
            <v>MSC DRESDEN</v>
          </cell>
          <cell r="C43">
            <v>292</v>
          </cell>
          <cell r="D43">
            <v>32.25</v>
          </cell>
          <cell r="E43">
            <v>13.5</v>
          </cell>
          <cell r="F43">
            <v>13.585771969233107</v>
          </cell>
          <cell r="G43">
            <v>18.7</v>
          </cell>
          <cell r="H43">
            <v>62422</v>
          </cell>
          <cell r="I43">
            <v>50644</v>
          </cell>
          <cell r="J43">
            <v>28489</v>
          </cell>
          <cell r="K43">
            <v>127937.21463426817</v>
          </cell>
          <cell r="L43">
            <v>128313</v>
          </cell>
          <cell r="M43">
            <v>176097.9</v>
          </cell>
          <cell r="N43">
            <v>128314</v>
          </cell>
          <cell r="O43">
            <v>1</v>
          </cell>
          <cell r="P43" t="str">
            <v>GERMAN</v>
          </cell>
        </row>
        <row r="44">
          <cell r="A44">
            <v>39</v>
          </cell>
          <cell r="B44" t="str">
            <v>MSC DYMPHNA</v>
          </cell>
          <cell r="C44">
            <v>241.31</v>
          </cell>
          <cell r="D44">
            <v>32.21</v>
          </cell>
          <cell r="E44">
            <v>11.71</v>
          </cell>
          <cell r="F44">
            <v>12.342725143176446</v>
          </cell>
          <cell r="G44">
            <v>19</v>
          </cell>
          <cell r="H44">
            <v>45727</v>
          </cell>
          <cell r="I44">
            <v>36420</v>
          </cell>
          <cell r="J44">
            <v>15901</v>
          </cell>
          <cell r="K44">
            <v>95935.004968500056</v>
          </cell>
          <cell r="L44">
            <v>95570</v>
          </cell>
          <cell r="M44">
            <v>147679.3069</v>
          </cell>
          <cell r="N44">
            <v>95569</v>
          </cell>
          <cell r="O44">
            <v>1</v>
          </cell>
          <cell r="P44" t="str">
            <v>MALTESE</v>
          </cell>
        </row>
        <row r="45">
          <cell r="A45">
            <v>40</v>
          </cell>
          <cell r="B45" t="str">
            <v>MSC ELEONORA</v>
          </cell>
          <cell r="C45">
            <v>202.8</v>
          </cell>
          <cell r="D45">
            <v>30.6</v>
          </cell>
          <cell r="E45">
            <v>11.95</v>
          </cell>
          <cell r="F45">
            <v>11.02865939269139</v>
          </cell>
          <cell r="G45">
            <v>16</v>
          </cell>
          <cell r="H45">
            <v>41667</v>
          </cell>
          <cell r="I45">
            <v>28892</v>
          </cell>
          <cell r="J45">
            <v>11213</v>
          </cell>
          <cell r="K45">
            <v>74157.876000000004</v>
          </cell>
          <cell r="L45">
            <v>74468</v>
          </cell>
          <cell r="M45">
            <v>99290.880000000005</v>
          </cell>
          <cell r="O45">
            <v>1</v>
          </cell>
          <cell r="P45" t="str">
            <v>PANAMA</v>
          </cell>
        </row>
        <row r="46">
          <cell r="A46">
            <v>41</v>
          </cell>
          <cell r="B46" t="str">
            <v>MSC FANTASIA</v>
          </cell>
          <cell r="C46">
            <v>333.3</v>
          </cell>
          <cell r="D46">
            <v>50.5</v>
          </cell>
          <cell r="E46">
            <v>8.67</v>
          </cell>
          <cell r="F46">
            <v>18.163158866232497</v>
          </cell>
          <cell r="K46">
            <v>305715.93293082225</v>
          </cell>
          <cell r="L46">
            <v>306337</v>
          </cell>
          <cell r="M46">
            <v>0</v>
          </cell>
          <cell r="O46">
            <v>4</v>
          </cell>
          <cell r="P46" t="str">
            <v>PANAMA</v>
          </cell>
        </row>
        <row r="47">
          <cell r="A47">
            <v>42</v>
          </cell>
          <cell r="B47" t="str">
            <v>MSC GEMMA</v>
          </cell>
          <cell r="C47">
            <v>277.3</v>
          </cell>
          <cell r="D47">
            <v>40</v>
          </cell>
          <cell r="E47">
            <v>14</v>
          </cell>
          <cell r="F47">
            <v>14.744599011163377</v>
          </cell>
          <cell r="G47">
            <v>24.3</v>
          </cell>
          <cell r="H47">
            <v>67500</v>
          </cell>
          <cell r="I47">
            <v>66300</v>
          </cell>
          <cell r="J47">
            <v>33300</v>
          </cell>
          <cell r="K47">
            <v>163547.09223182418</v>
          </cell>
          <cell r="L47">
            <v>163052</v>
          </cell>
          <cell r="M47">
            <v>269535.60000000003</v>
          </cell>
          <cell r="N47">
            <v>163052</v>
          </cell>
          <cell r="O47">
            <v>1</v>
          </cell>
          <cell r="P47" t="str">
            <v>ALLEMAND</v>
          </cell>
        </row>
        <row r="48">
          <cell r="A48">
            <v>43</v>
          </cell>
          <cell r="B48" t="str">
            <v>MSC GIANNA</v>
          </cell>
          <cell r="C48">
            <v>209.1</v>
          </cell>
          <cell r="D48">
            <v>30.48</v>
          </cell>
          <cell r="E48">
            <v>11.57</v>
          </cell>
          <cell r="F48">
            <v>11.176672707026901</v>
          </cell>
          <cell r="G48">
            <v>15.7</v>
          </cell>
          <cell r="H48">
            <v>42077</v>
          </cell>
          <cell r="I48">
            <v>27758</v>
          </cell>
          <cell r="J48">
            <v>15638</v>
          </cell>
          <cell r="K48">
            <v>73739.867759999994</v>
          </cell>
          <cell r="L48">
            <v>73980</v>
          </cell>
          <cell r="M48">
            <v>100061.87759999999</v>
          </cell>
          <cell r="N48">
            <v>73737</v>
          </cell>
          <cell r="O48">
            <v>0</v>
          </cell>
          <cell r="P48" t="str">
            <v>PANAMA</v>
          </cell>
        </row>
        <row r="49">
          <cell r="A49">
            <v>44</v>
          </cell>
          <cell r="B49" t="str">
            <v>MSC GINA</v>
          </cell>
          <cell r="C49">
            <v>259.5</v>
          </cell>
          <cell r="D49">
            <v>32.200000000000003</v>
          </cell>
          <cell r="E49">
            <v>13.02</v>
          </cell>
          <cell r="F49">
            <v>12.797485690556565</v>
          </cell>
          <cell r="G49">
            <v>19</v>
          </cell>
          <cell r="H49">
            <v>56880</v>
          </cell>
          <cell r="I49">
            <v>40631</v>
          </cell>
          <cell r="J49">
            <v>23676</v>
          </cell>
          <cell r="K49">
            <v>108793.81800000001</v>
          </cell>
          <cell r="L49">
            <v>108627</v>
          </cell>
          <cell r="M49">
            <v>158762.10000000003</v>
          </cell>
          <cell r="N49">
            <v>108627</v>
          </cell>
          <cell r="O49">
            <v>1</v>
          </cell>
          <cell r="P49" t="str">
            <v>PANAMA</v>
          </cell>
        </row>
        <row r="50">
          <cell r="A50">
            <v>45</v>
          </cell>
          <cell r="B50" t="str">
            <v>MSC GINA</v>
          </cell>
          <cell r="C50">
            <v>259.5</v>
          </cell>
          <cell r="D50">
            <v>32.200000000000003</v>
          </cell>
          <cell r="E50">
            <v>13.02</v>
          </cell>
          <cell r="F50">
            <v>12.797485690556565</v>
          </cell>
          <cell r="G50">
            <v>19</v>
          </cell>
          <cell r="H50">
            <v>56880</v>
          </cell>
          <cell r="I50">
            <v>40631</v>
          </cell>
          <cell r="J50">
            <v>23676</v>
          </cell>
          <cell r="K50">
            <v>108793.81800000001</v>
          </cell>
          <cell r="L50">
            <v>108627</v>
          </cell>
          <cell r="M50">
            <v>158762.10000000003</v>
          </cell>
          <cell r="N50">
            <v>108627</v>
          </cell>
          <cell r="O50">
            <v>1</v>
          </cell>
          <cell r="P50" t="str">
            <v>PANAMA</v>
          </cell>
        </row>
        <row r="51">
          <cell r="A51">
            <v>46</v>
          </cell>
          <cell r="B51" t="str">
            <v>MSC GRACE</v>
          </cell>
          <cell r="C51">
            <v>154.9</v>
          </cell>
          <cell r="D51">
            <v>23.09</v>
          </cell>
          <cell r="E51">
            <v>10.1</v>
          </cell>
          <cell r="F51">
            <v>8.372703482149598</v>
          </cell>
          <cell r="G51">
            <v>13.4</v>
          </cell>
          <cell r="H51">
            <v>17298</v>
          </cell>
          <cell r="I51">
            <v>13258</v>
          </cell>
          <cell r="J51">
            <v>6802</v>
          </cell>
          <cell r="K51">
            <v>36124.074099999998</v>
          </cell>
          <cell r="L51">
            <v>36140</v>
          </cell>
          <cell r="M51">
            <v>47926.989400000006</v>
          </cell>
          <cell r="N51">
            <v>35782</v>
          </cell>
          <cell r="O51">
            <v>1</v>
          </cell>
          <cell r="P51" t="str">
            <v>PANAMA</v>
          </cell>
        </row>
        <row r="52">
          <cell r="A52">
            <v>47</v>
          </cell>
          <cell r="B52" t="str">
            <v>MSC HAILEY</v>
          </cell>
          <cell r="C52">
            <v>235.7</v>
          </cell>
          <cell r="D52">
            <v>32.25</v>
          </cell>
          <cell r="E52">
            <v>12.33</v>
          </cell>
          <cell r="F52">
            <v>12.205980911012439</v>
          </cell>
          <cell r="G52">
            <v>19.3</v>
          </cell>
          <cell r="H52">
            <v>46967</v>
          </cell>
          <cell r="I52">
            <v>38395</v>
          </cell>
          <cell r="J52">
            <v>21506</v>
          </cell>
          <cell r="K52">
            <v>93724.337249999997</v>
          </cell>
          <cell r="L52">
            <v>93641</v>
          </cell>
          <cell r="M52">
            <v>146705.57250000001</v>
          </cell>
          <cell r="N52">
            <v>93641</v>
          </cell>
          <cell r="O52">
            <v>1</v>
          </cell>
          <cell r="P52" t="str">
            <v>PANAMA</v>
          </cell>
        </row>
        <row r="53">
          <cell r="A53">
            <v>48</v>
          </cell>
          <cell r="B53" t="str">
            <v>MSC HOL. MAAS. BATAVE</v>
          </cell>
          <cell r="C53">
            <v>134.44</v>
          </cell>
          <cell r="D53">
            <v>22.74</v>
          </cell>
          <cell r="E53">
            <v>8.6999999999999993</v>
          </cell>
          <cell r="F53">
            <v>7.7408297849778354</v>
          </cell>
          <cell r="G53">
            <v>11.3</v>
          </cell>
          <cell r="H53">
            <v>11378</v>
          </cell>
          <cell r="I53">
            <v>8583</v>
          </cell>
          <cell r="J53">
            <v>6006</v>
          </cell>
          <cell r="K53">
            <v>26597.340719999997</v>
          </cell>
          <cell r="L53">
            <v>26848</v>
          </cell>
          <cell r="M53">
            <v>34545.971279999998</v>
          </cell>
          <cell r="N53">
            <v>26543</v>
          </cell>
          <cell r="O53">
            <v>2</v>
          </cell>
          <cell r="P53" t="str">
            <v>DUTCH</v>
          </cell>
        </row>
        <row r="54">
          <cell r="A54">
            <v>49</v>
          </cell>
          <cell r="B54" t="str">
            <v>MSC IRIS</v>
          </cell>
          <cell r="C54">
            <v>203.06</v>
          </cell>
          <cell r="D54">
            <v>25.4</v>
          </cell>
          <cell r="E54">
            <v>9.8000000000000007</v>
          </cell>
          <cell r="F54">
            <v>10.054421435368623</v>
          </cell>
          <cell r="G54">
            <v>15.9</v>
          </cell>
          <cell r="H54">
            <v>21370</v>
          </cell>
          <cell r="I54">
            <v>21586</v>
          </cell>
          <cell r="J54">
            <v>7164</v>
          </cell>
          <cell r="K54">
            <v>51857.930743315192</v>
          </cell>
          <cell r="L54">
            <v>52309</v>
          </cell>
          <cell r="M54">
            <v>82007.811600000001</v>
          </cell>
          <cell r="N54">
            <v>52103</v>
          </cell>
          <cell r="O54">
            <v>1</v>
          </cell>
          <cell r="P54" t="str">
            <v>PANAMA</v>
          </cell>
        </row>
        <row r="55">
          <cell r="A55">
            <v>50</v>
          </cell>
          <cell r="B55" t="str">
            <v>MSC JADE</v>
          </cell>
          <cell r="C55">
            <v>241.1</v>
          </cell>
          <cell r="D55">
            <v>32.200000000000003</v>
          </cell>
          <cell r="E55">
            <v>11.73</v>
          </cell>
          <cell r="F55">
            <v>12.33543805464565</v>
          </cell>
          <cell r="G55">
            <v>19</v>
          </cell>
          <cell r="H55">
            <v>43100</v>
          </cell>
          <cell r="I55">
            <v>36514</v>
          </cell>
          <cell r="J55">
            <v>14861</v>
          </cell>
          <cell r="K55">
            <v>95765.186502197132</v>
          </cell>
          <cell r="L55">
            <v>95786</v>
          </cell>
          <cell r="M55">
            <v>147504.98000000001</v>
          </cell>
          <cell r="N55">
            <v>95490</v>
          </cell>
          <cell r="O55">
            <v>1</v>
          </cell>
          <cell r="P55" t="str">
            <v>PANAMA</v>
          </cell>
        </row>
        <row r="56">
          <cell r="A56">
            <v>51</v>
          </cell>
          <cell r="B56" t="str">
            <v>MSC JAPAN</v>
          </cell>
          <cell r="C56">
            <v>242.81</v>
          </cell>
          <cell r="D56">
            <v>32.200000000000003</v>
          </cell>
          <cell r="E56">
            <v>11.71</v>
          </cell>
          <cell r="F56">
            <v>12.379105266536836</v>
          </cell>
          <cell r="G56">
            <v>19</v>
          </cell>
          <cell r="H56">
            <v>42979.9</v>
          </cell>
          <cell r="I56">
            <v>37518</v>
          </cell>
          <cell r="J56">
            <v>20448</v>
          </cell>
          <cell r="K56">
            <v>96785.811702523468</v>
          </cell>
          <cell r="L56">
            <v>96946</v>
          </cell>
          <cell r="M56">
            <v>148551.15800000002</v>
          </cell>
          <cell r="N56">
            <v>96945</v>
          </cell>
          <cell r="O56">
            <v>1</v>
          </cell>
          <cell r="P56" t="str">
            <v>PANAMA</v>
          </cell>
        </row>
        <row r="57">
          <cell r="A57">
            <v>52</v>
          </cell>
          <cell r="B57" t="str">
            <v>MSC JAVA</v>
          </cell>
          <cell r="C57">
            <v>153.19999999999999</v>
          </cell>
          <cell r="D57">
            <v>23.6</v>
          </cell>
          <cell r="E57">
            <v>9.7479999999999993</v>
          </cell>
          <cell r="F57">
            <v>8.4180871936562891</v>
          </cell>
          <cell r="H57">
            <v>20142</v>
          </cell>
          <cell r="I57">
            <v>13066</v>
          </cell>
          <cell r="J57">
            <v>6914</v>
          </cell>
          <cell r="K57">
            <v>35244.088960000001</v>
          </cell>
          <cell r="M57">
            <v>0</v>
          </cell>
          <cell r="P57" t="str">
            <v>LIBERIA</v>
          </cell>
        </row>
        <row r="58">
          <cell r="A58">
            <v>53</v>
          </cell>
          <cell r="B58" t="str">
            <v>MSC JEANNE</v>
          </cell>
          <cell r="C58">
            <v>233.48</v>
          </cell>
          <cell r="D58">
            <v>32.26</v>
          </cell>
          <cell r="E58">
            <v>12.53</v>
          </cell>
          <cell r="F58">
            <v>12.150245679820635</v>
          </cell>
          <cell r="G58">
            <v>19</v>
          </cell>
          <cell r="H58">
            <v>38410</v>
          </cell>
          <cell r="I58">
            <v>33113</v>
          </cell>
          <cell r="J58">
            <v>13412</v>
          </cell>
          <cell r="K58">
            <v>94376.771943999978</v>
          </cell>
          <cell r="L58">
            <v>94276</v>
          </cell>
          <cell r="M58">
            <v>143109.23119999998</v>
          </cell>
          <cell r="N58">
            <v>94185</v>
          </cell>
          <cell r="O58">
            <v>1</v>
          </cell>
          <cell r="P58" t="str">
            <v>PANAMA</v>
          </cell>
        </row>
        <row r="59">
          <cell r="A59">
            <v>54</v>
          </cell>
          <cell r="B59" t="str">
            <v>MSC JENNY</v>
          </cell>
          <cell r="C59">
            <v>244</v>
          </cell>
          <cell r="D59">
            <v>32.200000000000003</v>
          </cell>
          <cell r="E59">
            <v>12.52</v>
          </cell>
          <cell r="F59">
            <v>12.409402886521173</v>
          </cell>
          <cell r="G59">
            <v>21.4</v>
          </cell>
          <cell r="H59">
            <v>43517</v>
          </cell>
          <cell r="I59">
            <v>39990</v>
          </cell>
          <cell r="J59">
            <v>22470</v>
          </cell>
          <cell r="K59">
            <v>98367.136000000013</v>
          </cell>
          <cell r="L59">
            <v>98798</v>
          </cell>
          <cell r="M59">
            <v>168135.52000000002</v>
          </cell>
          <cell r="N59">
            <v>98210</v>
          </cell>
        </row>
        <row r="60">
          <cell r="A60">
            <v>55</v>
          </cell>
          <cell r="B60" t="str">
            <v>MSC JESSICA</v>
          </cell>
          <cell r="C60">
            <v>202.2</v>
          </cell>
          <cell r="D60">
            <v>29.9</v>
          </cell>
          <cell r="E60">
            <v>9.6199999999999992</v>
          </cell>
          <cell r="F60">
            <v>10.885645961540364</v>
          </cell>
          <cell r="G60">
            <v>15.7</v>
          </cell>
          <cell r="H60">
            <v>23991</v>
          </cell>
          <cell r="I60">
            <v>23291</v>
          </cell>
          <cell r="J60">
            <v>7346</v>
          </cell>
          <cell r="K60">
            <v>65812.220641361506</v>
          </cell>
          <cell r="L60">
            <v>65899</v>
          </cell>
          <cell r="M60">
            <v>94918.745999999985</v>
          </cell>
          <cell r="N60">
            <v>65899</v>
          </cell>
          <cell r="P60" t="str">
            <v>PANAMA</v>
          </cell>
        </row>
        <row r="61">
          <cell r="A61">
            <v>56</v>
          </cell>
          <cell r="B61" t="str">
            <v>MSC KATRINA</v>
          </cell>
          <cell r="C61">
            <v>202.98</v>
          </cell>
          <cell r="D61">
            <v>30.56</v>
          </cell>
          <cell r="E61">
            <v>10.87</v>
          </cell>
          <cell r="F61">
            <v>11.026338852039693</v>
          </cell>
          <cell r="G61">
            <v>19</v>
          </cell>
          <cell r="H61">
            <v>27738</v>
          </cell>
          <cell r="I61">
            <v>30249</v>
          </cell>
          <cell r="J61">
            <v>12376</v>
          </cell>
          <cell r="K61">
            <v>68397.138511315221</v>
          </cell>
          <cell r="L61">
            <v>68330</v>
          </cell>
          <cell r="M61">
            <v>117858.30719999998</v>
          </cell>
          <cell r="N61">
            <v>68330</v>
          </cell>
          <cell r="O61">
            <v>1</v>
          </cell>
          <cell r="P61" t="str">
            <v>PANAMA</v>
          </cell>
        </row>
        <row r="62">
          <cell r="A62">
            <v>57</v>
          </cell>
          <cell r="B62" t="str">
            <v>MSC KERRY</v>
          </cell>
          <cell r="C62">
            <v>239.8</v>
          </cell>
          <cell r="D62">
            <v>32.26</v>
          </cell>
          <cell r="E62">
            <v>12.4</v>
          </cell>
          <cell r="F62">
            <v>12.313593334197781</v>
          </cell>
          <cell r="G62">
            <v>12.15</v>
          </cell>
          <cell r="H62">
            <v>45530</v>
          </cell>
          <cell r="I62">
            <v>37323</v>
          </cell>
          <cell r="J62">
            <v>22371</v>
          </cell>
          <cell r="K62">
            <v>95925.7552</v>
          </cell>
          <cell r="L62">
            <v>96044</v>
          </cell>
          <cell r="M62">
            <v>93991.768200000006</v>
          </cell>
          <cell r="N62">
            <v>96045</v>
          </cell>
          <cell r="O62">
            <v>1</v>
          </cell>
          <cell r="P62" t="str">
            <v>PANAMA</v>
          </cell>
        </row>
        <row r="63">
          <cell r="A63">
            <v>58</v>
          </cell>
          <cell r="B63" t="str">
            <v>MSC LARA</v>
          </cell>
          <cell r="C63">
            <v>202.8</v>
          </cell>
          <cell r="D63">
            <v>30.6</v>
          </cell>
          <cell r="E63">
            <v>11.95</v>
          </cell>
          <cell r="F63">
            <v>11.02865939269139</v>
          </cell>
          <cell r="G63">
            <v>18.5</v>
          </cell>
          <cell r="H63">
            <v>41583</v>
          </cell>
          <cell r="I63">
            <v>29181</v>
          </cell>
          <cell r="J63">
            <v>14502</v>
          </cell>
          <cell r="K63">
            <v>74157.876000000004</v>
          </cell>
          <cell r="L63">
            <v>74468</v>
          </cell>
          <cell r="M63">
            <v>114805.08</v>
          </cell>
          <cell r="N63">
            <v>74468</v>
          </cell>
          <cell r="O63">
            <v>1</v>
          </cell>
          <cell r="P63" t="str">
            <v>PANAMA</v>
          </cell>
        </row>
        <row r="64">
          <cell r="A64">
            <v>59</v>
          </cell>
          <cell r="B64" t="str">
            <v>MSC LAURENCE</v>
          </cell>
          <cell r="C64">
            <v>222.35</v>
          </cell>
          <cell r="D64">
            <v>32.26</v>
          </cell>
          <cell r="E64">
            <v>11.52</v>
          </cell>
          <cell r="F64">
            <v>11.857108230930509</v>
          </cell>
          <cell r="G64">
            <v>19</v>
          </cell>
          <cell r="H64">
            <v>30933</v>
          </cell>
          <cell r="I64">
            <v>32341</v>
          </cell>
          <cell r="J64">
            <v>11447</v>
          </cell>
          <cell r="K64">
            <v>85051.167768655068</v>
          </cell>
          <cell r="L64">
            <v>85484</v>
          </cell>
          <cell r="M64">
            <v>136287.209</v>
          </cell>
          <cell r="N64">
            <v>85484</v>
          </cell>
          <cell r="O64">
            <v>1</v>
          </cell>
          <cell r="P64" t="str">
            <v>PANAMA</v>
          </cell>
        </row>
        <row r="65">
          <cell r="A65">
            <v>60</v>
          </cell>
          <cell r="B65" t="str">
            <v>MSC LEA</v>
          </cell>
          <cell r="C65">
            <v>217.11</v>
          </cell>
          <cell r="D65">
            <v>26.66</v>
          </cell>
          <cell r="E65">
            <v>11.41</v>
          </cell>
          <cell r="F65">
            <v>10.65118730283155</v>
          </cell>
          <cell r="G65">
            <v>18.95</v>
          </cell>
          <cell r="H65">
            <v>18295</v>
          </cell>
          <cell r="I65">
            <v>24836</v>
          </cell>
          <cell r="J65">
            <v>7450</v>
          </cell>
          <cell r="K65">
            <v>66042.821166000009</v>
          </cell>
          <cell r="L65">
            <v>62024</v>
          </cell>
          <cell r="M65">
            <v>109685.49177000001</v>
          </cell>
          <cell r="N65">
            <v>66081</v>
          </cell>
          <cell r="O65">
            <v>1</v>
          </cell>
          <cell r="P65" t="str">
            <v>PANAMA</v>
          </cell>
        </row>
        <row r="66">
          <cell r="A66">
            <v>61</v>
          </cell>
          <cell r="B66" t="str">
            <v>MSC LEVINA</v>
          </cell>
          <cell r="C66">
            <v>241.31</v>
          </cell>
          <cell r="D66">
            <v>32.200000000000003</v>
          </cell>
          <cell r="E66">
            <v>11.71</v>
          </cell>
          <cell r="F66">
            <v>12.340809017240321</v>
          </cell>
          <cell r="G66">
            <v>19</v>
          </cell>
          <cell r="H66">
            <v>43140</v>
          </cell>
          <cell r="I66">
            <v>36420</v>
          </cell>
          <cell r="J66">
            <v>15901</v>
          </cell>
          <cell r="K66">
            <v>95890.332091198448</v>
          </cell>
          <cell r="L66">
            <v>95570</v>
          </cell>
          <cell r="M66">
            <v>147633.45800000001</v>
          </cell>
          <cell r="N66">
            <v>95569</v>
          </cell>
          <cell r="O66">
            <v>1</v>
          </cell>
          <cell r="P66" t="str">
            <v>PANAMA</v>
          </cell>
        </row>
        <row r="67">
          <cell r="A67">
            <v>62</v>
          </cell>
          <cell r="B67" t="str">
            <v>MSC LIESELOTTE</v>
          </cell>
          <cell r="C67">
            <v>203.06</v>
          </cell>
          <cell r="D67">
            <v>25.4</v>
          </cell>
          <cell r="E67">
            <v>9.82</v>
          </cell>
          <cell r="F67">
            <v>10.054421435368623</v>
          </cell>
          <cell r="G67">
            <v>15.9</v>
          </cell>
          <cell r="H67">
            <v>21370</v>
          </cell>
          <cell r="I67">
            <v>21584</v>
          </cell>
          <cell r="J67">
            <v>7160</v>
          </cell>
          <cell r="K67">
            <v>51857.930743315192</v>
          </cell>
          <cell r="M67">
            <v>82007.811600000001</v>
          </cell>
          <cell r="O67">
            <v>1</v>
          </cell>
          <cell r="P67" t="str">
            <v>PANAMA</v>
          </cell>
        </row>
        <row r="68">
          <cell r="A68">
            <v>63</v>
          </cell>
          <cell r="B68" t="str">
            <v>MSC LONDON</v>
          </cell>
          <cell r="C68">
            <v>241.1</v>
          </cell>
          <cell r="D68">
            <v>32.299999999999997</v>
          </cell>
          <cell r="E68">
            <v>11.73</v>
          </cell>
          <cell r="F68">
            <v>12.354577613176422</v>
          </cell>
          <cell r="G68"/>
          <cell r="H68"/>
          <cell r="I68">
            <v>36270</v>
          </cell>
          <cell r="J68">
            <v>14811</v>
          </cell>
          <cell r="K68">
            <v>95800</v>
          </cell>
          <cell r="L68">
            <v>95786</v>
          </cell>
          <cell r="M68">
            <v>0</v>
          </cell>
          <cell r="N68">
            <v>95490</v>
          </cell>
          <cell r="P68" t="str">
            <v>CYPRUS</v>
          </cell>
        </row>
        <row r="69">
          <cell r="A69">
            <v>64</v>
          </cell>
          <cell r="B69" t="str">
            <v>MSC LUGANO</v>
          </cell>
          <cell r="C69">
            <v>241.13</v>
          </cell>
          <cell r="D69">
            <v>32.29</v>
          </cell>
          <cell r="E69">
            <v>11.73</v>
          </cell>
          <cell r="F69">
            <v>12.353433487091758</v>
          </cell>
          <cell r="G69">
            <v>19</v>
          </cell>
          <cell r="H69">
            <v>42976.4</v>
          </cell>
          <cell r="I69">
            <v>35958</v>
          </cell>
          <cell r="J69">
            <v>15019</v>
          </cell>
          <cell r="K69">
            <v>96184.916526613248</v>
          </cell>
          <cell r="L69">
            <v>95786</v>
          </cell>
          <cell r="M69">
            <v>147935.66630000001</v>
          </cell>
          <cell r="N69">
            <v>95054</v>
          </cell>
          <cell r="O69">
            <v>1</v>
          </cell>
          <cell r="P69" t="str">
            <v>MARSHALL ISLANDS</v>
          </cell>
        </row>
        <row r="70">
          <cell r="A70">
            <v>65</v>
          </cell>
          <cell r="B70" t="str">
            <v>MSC MAGNIFICA</v>
          </cell>
          <cell r="C70">
            <v>293.8</v>
          </cell>
          <cell r="D70">
            <v>38.799999999999997</v>
          </cell>
          <cell r="E70">
            <v>7.9</v>
          </cell>
          <cell r="F70">
            <v>14.947542406696829</v>
          </cell>
          <cell r="I70">
            <v>95128</v>
          </cell>
          <cell r="J70">
            <v>65478</v>
          </cell>
          <cell r="K70">
            <v>170393.61281259611</v>
          </cell>
          <cell r="M70">
            <v>0</v>
          </cell>
          <cell r="N70">
            <v>159140</v>
          </cell>
          <cell r="P70" t="str">
            <v>PANAMA</v>
          </cell>
        </row>
        <row r="71">
          <cell r="A71">
            <v>66</v>
          </cell>
          <cell r="B71" t="str">
            <v>MSC MALAYSIA</v>
          </cell>
          <cell r="C71">
            <v>292.2</v>
          </cell>
          <cell r="D71">
            <v>32.229999999999997</v>
          </cell>
          <cell r="E71">
            <v>13.03</v>
          </cell>
          <cell r="F71">
            <v>13.586209095991419</v>
          </cell>
          <cell r="G71">
            <v>21.2</v>
          </cell>
          <cell r="H71">
            <v>59093</v>
          </cell>
          <cell r="I71">
            <v>50350</v>
          </cell>
          <cell r="J71">
            <v>28396</v>
          </cell>
          <cell r="K71">
            <v>127949.56429966334</v>
          </cell>
          <cell r="L71">
            <v>127960</v>
          </cell>
          <cell r="M71">
            <v>199653.24719999995</v>
          </cell>
          <cell r="N71">
            <v>127960</v>
          </cell>
          <cell r="O71">
            <v>1</v>
          </cell>
          <cell r="P71" t="str">
            <v>ROYAUME UNI</v>
          </cell>
        </row>
        <row r="72">
          <cell r="A72">
            <v>67</v>
          </cell>
          <cell r="B72" t="str">
            <v>MSC MANDY</v>
          </cell>
          <cell r="C72">
            <v>237</v>
          </cell>
          <cell r="D72">
            <v>32.200000000000003</v>
          </cell>
          <cell r="E72">
            <v>12</v>
          </cell>
          <cell r="F72">
            <v>12.230103842568143</v>
          </cell>
          <cell r="G72">
            <v>19</v>
          </cell>
          <cell r="H72">
            <v>47120</v>
          </cell>
          <cell r="I72">
            <v>37071</v>
          </cell>
          <cell r="J72">
            <v>15889</v>
          </cell>
          <cell r="K72">
            <v>93332.814464174531</v>
          </cell>
          <cell r="L72">
            <v>93103</v>
          </cell>
          <cell r="M72">
            <v>144996.6</v>
          </cell>
          <cell r="N72">
            <v>93103</v>
          </cell>
          <cell r="O72">
            <v>1</v>
          </cell>
          <cell r="P72" t="str">
            <v>LIBERIA</v>
          </cell>
        </row>
        <row r="73">
          <cell r="A73">
            <v>68</v>
          </cell>
          <cell r="B73" t="str">
            <v>MSC MARIA LAURA</v>
          </cell>
          <cell r="C73">
            <v>228.85</v>
          </cell>
          <cell r="D73">
            <v>32.200000000000003</v>
          </cell>
          <cell r="E73">
            <v>12.45</v>
          </cell>
          <cell r="F73">
            <v>12.017978698599862</v>
          </cell>
          <cell r="G73">
            <v>15.4</v>
          </cell>
          <cell r="H73">
            <v>42467</v>
          </cell>
          <cell r="I73">
            <v>36389</v>
          </cell>
          <cell r="J73">
            <v>18490</v>
          </cell>
          <cell r="K73">
            <v>91743.676500000001</v>
          </cell>
          <cell r="L73">
            <v>92133</v>
          </cell>
          <cell r="M73">
            <v>113482.13800000001</v>
          </cell>
          <cell r="N73">
            <v>92132</v>
          </cell>
          <cell r="O73">
            <v>1</v>
          </cell>
          <cell r="P73" t="str">
            <v>PANAMA</v>
          </cell>
        </row>
        <row r="74">
          <cell r="A74">
            <v>69</v>
          </cell>
          <cell r="B74" t="str">
            <v>MSC MARTINA</v>
          </cell>
          <cell r="C74">
            <v>243.5</v>
          </cell>
          <cell r="D74">
            <v>32.28</v>
          </cell>
          <cell r="E74">
            <v>12.12</v>
          </cell>
          <cell r="F74">
            <v>12.412071865728139</v>
          </cell>
          <cell r="G74">
            <v>19</v>
          </cell>
          <cell r="H74">
            <v>46006</v>
          </cell>
          <cell r="I74">
            <v>37398</v>
          </cell>
          <cell r="J74">
            <v>21770</v>
          </cell>
          <cell r="K74">
            <v>97561.119037559009</v>
          </cell>
          <cell r="L74">
            <v>97527</v>
          </cell>
          <cell r="M74">
            <v>149343.42000000001</v>
          </cell>
          <cell r="N74">
            <v>97246</v>
          </cell>
          <cell r="O74">
            <v>1</v>
          </cell>
          <cell r="P74" t="str">
            <v>PANAMA</v>
          </cell>
        </row>
        <row r="75">
          <cell r="A75">
            <v>70</v>
          </cell>
          <cell r="B75" t="str">
            <v>MSC MAYA</v>
          </cell>
          <cell r="C75">
            <v>242.6</v>
          </cell>
          <cell r="D75">
            <v>32.200000000000003</v>
          </cell>
          <cell r="E75">
            <v>12.13</v>
          </cell>
          <cell r="F75">
            <v>12.373750926861264</v>
          </cell>
          <cell r="G75">
            <v>19</v>
          </cell>
          <cell r="H75">
            <v>45733</v>
          </cell>
          <cell r="I75">
            <v>35598</v>
          </cell>
          <cell r="J75">
            <v>14763</v>
          </cell>
          <cell r="K75">
            <v>96660.277590380676</v>
          </cell>
          <cell r="L75">
            <v>97166</v>
          </cell>
          <cell r="M75">
            <v>148422.68</v>
          </cell>
          <cell r="N75">
            <v>96865</v>
          </cell>
          <cell r="O75">
            <v>1</v>
          </cell>
          <cell r="P75" t="str">
            <v>PANAMA</v>
          </cell>
        </row>
        <row r="76">
          <cell r="A76">
            <v>71</v>
          </cell>
          <cell r="B76" t="str">
            <v>MSC MEDITERRANEAN</v>
          </cell>
          <cell r="C76">
            <v>202.8</v>
          </cell>
          <cell r="D76">
            <v>30.6</v>
          </cell>
          <cell r="E76">
            <v>11.95</v>
          </cell>
          <cell r="F76">
            <v>11.02865939269139</v>
          </cell>
          <cell r="G76">
            <v>16</v>
          </cell>
          <cell r="H76">
            <v>41583</v>
          </cell>
          <cell r="I76">
            <v>29181</v>
          </cell>
          <cell r="J76">
            <v>14502</v>
          </cell>
          <cell r="K76">
            <v>74157.876000000004</v>
          </cell>
          <cell r="L76">
            <v>74468</v>
          </cell>
          <cell r="M76">
            <v>99290.880000000005</v>
          </cell>
          <cell r="N76">
            <v>74468</v>
          </cell>
          <cell r="O76">
            <v>1</v>
          </cell>
          <cell r="P76" t="str">
            <v>LIBERIA</v>
          </cell>
        </row>
        <row r="77">
          <cell r="A77">
            <v>72</v>
          </cell>
          <cell r="B77" t="str">
            <v>MSC MEE MAY</v>
          </cell>
          <cell r="C77">
            <v>181.44</v>
          </cell>
          <cell r="D77">
            <v>27.89</v>
          </cell>
          <cell r="E77">
            <v>10.59</v>
          </cell>
          <cell r="F77">
            <v>9.9590706072404185</v>
          </cell>
          <cell r="G77">
            <v>14.37</v>
          </cell>
          <cell r="H77">
            <v>21185</v>
          </cell>
          <cell r="I77">
            <v>16670</v>
          </cell>
          <cell r="J77">
            <v>8504</v>
          </cell>
          <cell r="K77">
            <v>53589.229343999999</v>
          </cell>
          <cell r="L77">
            <v>53648</v>
          </cell>
          <cell r="M77">
            <v>72717.396192</v>
          </cell>
          <cell r="N77">
            <v>53455</v>
          </cell>
          <cell r="O77">
            <v>1</v>
          </cell>
          <cell r="P77" t="str">
            <v>PANAMA</v>
          </cell>
        </row>
        <row r="78">
          <cell r="A78">
            <v>73</v>
          </cell>
          <cell r="B78" t="str">
            <v>MSC MEXICO</v>
          </cell>
          <cell r="C78">
            <v>240.46</v>
          </cell>
          <cell r="D78">
            <v>32.200000000000003</v>
          </cell>
          <cell r="E78">
            <v>11.7</v>
          </cell>
          <cell r="F78">
            <v>12.319054963754324</v>
          </cell>
          <cell r="G78">
            <v>18.850000000000001</v>
          </cell>
          <cell r="H78">
            <v>45119</v>
          </cell>
          <cell r="I78">
            <v>38991</v>
          </cell>
          <cell r="J78">
            <v>13039</v>
          </cell>
          <cell r="K78">
            <v>95384.126602016549</v>
          </cell>
          <cell r="L78">
            <v>95549</v>
          </cell>
          <cell r="M78">
            <v>145952.00620000003</v>
          </cell>
          <cell r="N78">
            <v>95252</v>
          </cell>
          <cell r="O78">
            <v>1</v>
          </cell>
          <cell r="P78" t="str">
            <v>LIBERIA</v>
          </cell>
        </row>
        <row r="79">
          <cell r="A79">
            <v>74</v>
          </cell>
          <cell r="B79" t="str">
            <v>MSC MONICA</v>
          </cell>
          <cell r="C79">
            <v>242.81</v>
          </cell>
          <cell r="D79">
            <v>32.26</v>
          </cell>
          <cell r="E79">
            <v>12.12</v>
          </cell>
          <cell r="F79">
            <v>12.390633226756412</v>
          </cell>
          <cell r="G79">
            <v>19</v>
          </cell>
          <cell r="H79">
            <v>46240</v>
          </cell>
          <cell r="I79">
            <v>37398</v>
          </cell>
          <cell r="J79">
            <v>21770</v>
          </cell>
          <cell r="K79">
            <v>97056.457031224243</v>
          </cell>
          <cell r="L79">
            <v>97246</v>
          </cell>
          <cell r="M79">
            <v>148827.9614</v>
          </cell>
          <cell r="N79">
            <v>97246</v>
          </cell>
          <cell r="O79">
            <v>1</v>
          </cell>
          <cell r="P79" t="str">
            <v>PANAMA</v>
          </cell>
        </row>
        <row r="80">
          <cell r="A80">
            <v>75</v>
          </cell>
          <cell r="B80" t="str">
            <v>MSC MUSICA</v>
          </cell>
          <cell r="C80">
            <v>294</v>
          </cell>
          <cell r="D80">
            <v>32.200000000000003</v>
          </cell>
          <cell r="E80">
            <v>7.85</v>
          </cell>
          <cell r="F80">
            <v>13.621647477452941</v>
          </cell>
          <cell r="G80">
            <v>32.200000000000003</v>
          </cell>
          <cell r="H80">
            <v>10944</v>
          </cell>
          <cell r="I80">
            <v>90409</v>
          </cell>
          <cell r="J80">
            <v>65640</v>
          </cell>
          <cell r="K80">
            <v>128953.41233955152</v>
          </cell>
          <cell r="L80">
            <v>128748</v>
          </cell>
          <cell r="M80">
            <v>304830.96000000008</v>
          </cell>
          <cell r="N80">
            <v>128661</v>
          </cell>
          <cell r="O80">
            <v>5</v>
          </cell>
          <cell r="P80" t="str">
            <v>PANAMA</v>
          </cell>
        </row>
        <row r="81">
          <cell r="A81">
            <v>76</v>
          </cell>
          <cell r="B81" t="str">
            <v>MSC NAMIBIA</v>
          </cell>
          <cell r="C81">
            <v>204</v>
          </cell>
          <cell r="D81">
            <v>30.97</v>
          </cell>
          <cell r="E81">
            <v>11</v>
          </cell>
          <cell r="F81">
            <v>11.127913011881429</v>
          </cell>
          <cell r="G81">
            <v>18.8</v>
          </cell>
          <cell r="H81">
            <v>27892</v>
          </cell>
          <cell r="I81">
            <v>27754</v>
          </cell>
          <cell r="J81">
            <v>13329</v>
          </cell>
          <cell r="K81">
            <v>70304.819059505448</v>
          </cell>
          <cell r="L81">
            <v>70196</v>
          </cell>
          <cell r="M81">
            <v>118776.144</v>
          </cell>
          <cell r="N81">
            <v>70196</v>
          </cell>
          <cell r="P81" t="str">
            <v>GREEK</v>
          </cell>
        </row>
        <row r="82">
          <cell r="A82">
            <v>77</v>
          </cell>
          <cell r="B82" t="str">
            <v>MSC NATALIA</v>
          </cell>
          <cell r="C82">
            <v>244</v>
          </cell>
          <cell r="D82">
            <v>32.200000000000003</v>
          </cell>
          <cell r="E82">
            <v>12.52</v>
          </cell>
          <cell r="F82">
            <v>12.409402886521173</v>
          </cell>
          <cell r="G82">
            <v>21.4</v>
          </cell>
          <cell r="H82">
            <v>43403</v>
          </cell>
          <cell r="I82">
            <v>10177</v>
          </cell>
          <cell r="J82">
            <v>22262</v>
          </cell>
          <cell r="K82">
            <v>98367.136000000013</v>
          </cell>
          <cell r="L82">
            <v>98515</v>
          </cell>
          <cell r="M82">
            <v>168135.52000000002</v>
          </cell>
          <cell r="N82">
            <v>98210</v>
          </cell>
          <cell r="O82">
            <v>1</v>
          </cell>
          <cell r="P82" t="str">
            <v>PANAMA</v>
          </cell>
        </row>
        <row r="83">
          <cell r="A83">
            <v>78</v>
          </cell>
          <cell r="B83" t="str">
            <v>MSC NEDERLAND</v>
          </cell>
          <cell r="C83">
            <v>237</v>
          </cell>
          <cell r="D83">
            <v>32.200000000000003</v>
          </cell>
          <cell r="E83">
            <v>11.98</v>
          </cell>
          <cell r="F83">
            <v>12.230103842568143</v>
          </cell>
          <cell r="G83">
            <v>18.8</v>
          </cell>
          <cell r="H83">
            <v>47120</v>
          </cell>
          <cell r="I83">
            <v>37071</v>
          </cell>
          <cell r="J83">
            <v>15889</v>
          </cell>
          <cell r="K83">
            <v>93332.814464174531</v>
          </cell>
          <cell r="L83">
            <v>93103</v>
          </cell>
          <cell r="M83">
            <v>143470.32</v>
          </cell>
          <cell r="N83">
            <v>93103</v>
          </cell>
          <cell r="P83" t="str">
            <v>PANAMA</v>
          </cell>
        </row>
        <row r="84">
          <cell r="A84">
            <v>79</v>
          </cell>
          <cell r="B84" t="str">
            <v>MSC NOA</v>
          </cell>
          <cell r="C84">
            <v>241.1</v>
          </cell>
          <cell r="D84">
            <v>32.200000000000003</v>
          </cell>
          <cell r="E84">
            <v>11.94</v>
          </cell>
          <cell r="F84">
            <v>12.33543805464565</v>
          </cell>
          <cell r="H84">
            <v>44441.8</v>
          </cell>
          <cell r="I84">
            <v>35953</v>
          </cell>
          <cell r="J84">
            <v>14861</v>
          </cell>
          <cell r="K84">
            <v>95765.186502197132</v>
          </cell>
          <cell r="L84">
            <v>95786</v>
          </cell>
          <cell r="M84">
            <v>0</v>
          </cell>
          <cell r="N84">
            <v>95490</v>
          </cell>
        </row>
        <row r="85">
          <cell r="A85">
            <v>80</v>
          </cell>
          <cell r="B85" t="str">
            <v>MSC NORA</v>
          </cell>
          <cell r="C85">
            <v>244</v>
          </cell>
          <cell r="D85">
            <v>32.26</v>
          </cell>
          <cell r="E85">
            <v>12.52</v>
          </cell>
          <cell r="F85">
            <v>12.420959061199744</v>
          </cell>
          <cell r="G85">
            <v>21.4</v>
          </cell>
          <cell r="H85">
            <v>43567</v>
          </cell>
          <cell r="I85">
            <v>39892</v>
          </cell>
          <cell r="J85">
            <v>22262</v>
          </cell>
          <cell r="K85">
            <v>98550.428799999994</v>
          </cell>
          <cell r="L85">
            <v>98515</v>
          </cell>
          <cell r="M85">
            <v>168448.81599999999</v>
          </cell>
          <cell r="N85">
            <v>98210</v>
          </cell>
          <cell r="O85">
            <v>1</v>
          </cell>
          <cell r="P85" t="str">
            <v>PANAMA</v>
          </cell>
        </row>
        <row r="86">
          <cell r="A86">
            <v>81</v>
          </cell>
          <cell r="B86" t="str">
            <v>MSC NORMANDIE</v>
          </cell>
          <cell r="C86">
            <v>174</v>
          </cell>
          <cell r="D86">
            <v>28.4</v>
          </cell>
          <cell r="E86">
            <v>11.2</v>
          </cell>
          <cell r="F86">
            <v>9.8415120789439676</v>
          </cell>
          <cell r="G86">
            <v>15.45</v>
          </cell>
          <cell r="H86">
            <v>28422</v>
          </cell>
          <cell r="I86">
            <v>20345</v>
          </cell>
          <cell r="J86">
            <v>10210</v>
          </cell>
          <cell r="K86">
            <v>55345.919999999991</v>
          </cell>
          <cell r="L86">
            <v>55346</v>
          </cell>
          <cell r="M86">
            <v>76347.719999999987</v>
          </cell>
          <cell r="N86">
            <v>55346</v>
          </cell>
          <cell r="O86">
            <v>1</v>
          </cell>
          <cell r="P86" t="str">
            <v>MARSHALL ISLANDS</v>
          </cell>
        </row>
        <row r="87">
          <cell r="A87">
            <v>82</v>
          </cell>
          <cell r="B87" t="str">
            <v>MSC ORCHESTRA</v>
          </cell>
          <cell r="C87">
            <v>293.8</v>
          </cell>
          <cell r="D87">
            <v>37.049999999999997</v>
          </cell>
          <cell r="E87">
            <v>7.87</v>
          </cell>
          <cell r="F87">
            <v>14.606563045425847</v>
          </cell>
          <cell r="G87">
            <v>19</v>
          </cell>
          <cell r="I87">
            <v>92409</v>
          </cell>
          <cell r="J87">
            <v>61672</v>
          </cell>
          <cell r="K87">
            <v>158996.6746527435</v>
          </cell>
          <cell r="L87">
            <v>159140</v>
          </cell>
          <cell r="M87">
            <v>206820.50999999998</v>
          </cell>
          <cell r="N87">
            <v>159140</v>
          </cell>
          <cell r="O87">
            <v>1</v>
          </cell>
          <cell r="P87" t="str">
            <v>PANAMA</v>
          </cell>
        </row>
        <row r="88">
          <cell r="A88">
            <v>83</v>
          </cell>
          <cell r="B88" t="str">
            <v>MSC PAOLA</v>
          </cell>
          <cell r="C88">
            <v>201.76</v>
          </cell>
          <cell r="D88">
            <v>26.01</v>
          </cell>
          <cell r="E88">
            <v>9.9</v>
          </cell>
          <cell r="F88">
            <v>10.14181645268736</v>
          </cell>
          <cell r="G88">
            <v>15.7</v>
          </cell>
          <cell r="H88">
            <v>19974</v>
          </cell>
          <cell r="I88">
            <v>21397</v>
          </cell>
          <cell r="J88">
            <v>16005</v>
          </cell>
          <cell r="K88">
            <v>53221.99720372419</v>
          </cell>
          <cell r="L88">
            <v>52993</v>
          </cell>
          <cell r="M88">
            <v>82390.108319999999</v>
          </cell>
          <cell r="N88">
            <v>52789</v>
          </cell>
          <cell r="O88">
            <v>1</v>
          </cell>
          <cell r="P88" t="str">
            <v>PANAMA</v>
          </cell>
        </row>
        <row r="89">
          <cell r="A89">
            <v>84</v>
          </cell>
          <cell r="B89" t="str">
            <v>MSC PATAGONIA</v>
          </cell>
          <cell r="C89">
            <v>166.42</v>
          </cell>
          <cell r="D89">
            <v>26.5</v>
          </cell>
          <cell r="E89">
            <v>10.61</v>
          </cell>
          <cell r="F89">
            <v>9.2972333519171197</v>
          </cell>
          <cell r="G89">
            <v>15.3</v>
          </cell>
          <cell r="H89">
            <v>22400</v>
          </cell>
          <cell r="I89">
            <v>16517</v>
          </cell>
          <cell r="J89">
            <v>7039</v>
          </cell>
          <cell r="K89">
            <v>46791.479299999999</v>
          </cell>
          <cell r="L89">
            <v>46742</v>
          </cell>
          <cell r="M89">
            <v>67474.989000000001</v>
          </cell>
          <cell r="N89">
            <v>46742</v>
          </cell>
          <cell r="O89">
            <v>1</v>
          </cell>
          <cell r="P89" t="str">
            <v>CYPRUS</v>
          </cell>
        </row>
        <row r="90">
          <cell r="A90">
            <v>85</v>
          </cell>
          <cell r="B90" t="str">
            <v>MSC PATRICIA</v>
          </cell>
          <cell r="C90">
            <v>165.5</v>
          </cell>
          <cell r="D90">
            <v>23.5</v>
          </cell>
          <cell r="E90">
            <v>10.07</v>
          </cell>
          <cell r="F90">
            <v>8.7309392392800458</v>
          </cell>
          <cell r="G90">
            <v>13.4</v>
          </cell>
          <cell r="H90">
            <v>18321</v>
          </cell>
          <cell r="I90">
            <v>13651</v>
          </cell>
          <cell r="J90">
            <v>7468</v>
          </cell>
          <cell r="K90">
            <v>39164.747499999998</v>
          </cell>
          <cell r="L90">
            <v>39282</v>
          </cell>
          <cell r="M90">
            <v>52115.950000000004</v>
          </cell>
          <cell r="N90">
            <v>38613</v>
          </cell>
          <cell r="O90">
            <v>1</v>
          </cell>
          <cell r="P90" t="str">
            <v>PANAMA</v>
          </cell>
        </row>
        <row r="91">
          <cell r="A91">
            <v>86</v>
          </cell>
          <cell r="B91" t="str">
            <v>MSC PEGGY</v>
          </cell>
          <cell r="C91">
            <v>207</v>
          </cell>
          <cell r="D91">
            <v>32.307000000000002</v>
          </cell>
          <cell r="E91">
            <v>12.02</v>
          </cell>
          <cell r="F91">
            <v>11.448841006844319</v>
          </cell>
          <cell r="G91">
            <v>18.8</v>
          </cell>
          <cell r="H91">
            <v>38981</v>
          </cell>
          <cell r="I91">
            <v>32696</v>
          </cell>
          <cell r="J91">
            <v>13925</v>
          </cell>
          <cell r="K91">
            <v>80384.338980000015</v>
          </cell>
          <cell r="L91">
            <v>80233</v>
          </cell>
          <cell r="M91">
            <v>125725.92120000003</v>
          </cell>
          <cell r="N91">
            <v>81984</v>
          </cell>
          <cell r="O91">
            <v>1</v>
          </cell>
          <cell r="P91" t="str">
            <v>PANAMA</v>
          </cell>
        </row>
        <row r="92">
          <cell r="A92">
            <v>87</v>
          </cell>
          <cell r="B92" t="str">
            <v>MSC PILAR</v>
          </cell>
          <cell r="C92">
            <v>189.1</v>
          </cell>
          <cell r="D92">
            <v>32.24</v>
          </cell>
          <cell r="E92">
            <v>11.42</v>
          </cell>
          <cell r="F92">
            <v>10.931287499649802</v>
          </cell>
          <cell r="G92">
            <v>18.8</v>
          </cell>
          <cell r="H92">
            <v>31978</v>
          </cell>
          <cell r="I92">
            <v>30751</v>
          </cell>
          <cell r="J92">
            <v>10039</v>
          </cell>
          <cell r="K92">
            <v>69622.989279999994</v>
          </cell>
          <cell r="L92">
            <v>69415</v>
          </cell>
          <cell r="M92">
            <v>114615.7792</v>
          </cell>
          <cell r="N92">
            <v>69415</v>
          </cell>
          <cell r="O92">
            <v>1</v>
          </cell>
          <cell r="P92" t="str">
            <v>PANAMA</v>
          </cell>
        </row>
        <row r="93">
          <cell r="A93">
            <v>88</v>
          </cell>
          <cell r="B93" t="str">
            <v>MSC POESIA</v>
          </cell>
          <cell r="C93">
            <v>294</v>
          </cell>
          <cell r="D93">
            <v>37.049999999999997</v>
          </cell>
          <cell r="E93">
            <v>7.88</v>
          </cell>
          <cell r="F93">
            <v>14.611533800392072</v>
          </cell>
          <cell r="G93">
            <v>19</v>
          </cell>
          <cell r="I93">
            <v>92627</v>
          </cell>
          <cell r="J93">
            <v>63861</v>
          </cell>
          <cell r="K93">
            <v>159159.05422753072</v>
          </cell>
          <cell r="L93">
            <v>159248</v>
          </cell>
          <cell r="M93">
            <v>206961.3</v>
          </cell>
          <cell r="O93">
            <v>1</v>
          </cell>
          <cell r="P93" t="str">
            <v>PANAMA</v>
          </cell>
        </row>
        <row r="94">
          <cell r="A94">
            <v>89</v>
          </cell>
          <cell r="B94" t="str">
            <v>MSC POLAND</v>
          </cell>
          <cell r="C94">
            <v>134.5</v>
          </cell>
          <cell r="D94">
            <v>16.5</v>
          </cell>
          <cell r="E94">
            <v>7.13</v>
          </cell>
          <cell r="F94">
            <v>6.5952482894884259</v>
          </cell>
          <cell r="G94">
            <v>9.8000000000000007</v>
          </cell>
          <cell r="H94">
            <v>9185</v>
          </cell>
          <cell r="I94">
            <v>6540</v>
          </cell>
          <cell r="J94">
            <v>3464</v>
          </cell>
          <cell r="K94">
            <v>15823.252500000001</v>
          </cell>
          <cell r="L94">
            <v>15948</v>
          </cell>
          <cell r="M94">
            <v>21748.65</v>
          </cell>
          <cell r="N94">
            <v>15757</v>
          </cell>
          <cell r="O94">
            <v>1</v>
          </cell>
          <cell r="P94" t="str">
            <v>DUTCH</v>
          </cell>
        </row>
        <row r="95">
          <cell r="A95">
            <v>90</v>
          </cell>
          <cell r="B95" t="str">
            <v>MSC RAFAELA</v>
          </cell>
          <cell r="C95">
            <v>244.2</v>
          </cell>
          <cell r="D95">
            <v>32.25</v>
          </cell>
          <cell r="E95">
            <v>13.22</v>
          </cell>
          <cell r="F95">
            <v>12.4241225042254</v>
          </cell>
          <cell r="G95">
            <v>21.5</v>
          </cell>
          <cell r="H95">
            <v>54550</v>
          </cell>
          <cell r="I95">
            <v>42307</v>
          </cell>
          <cell r="J95">
            <v>22638</v>
          </cell>
          <cell r="K95">
            <v>104113.44900000001</v>
          </cell>
          <cell r="L95">
            <v>104118</v>
          </cell>
          <cell r="M95">
            <v>169322.17499999999</v>
          </cell>
          <cell r="N95">
            <v>108061</v>
          </cell>
          <cell r="O95">
            <v>1</v>
          </cell>
          <cell r="P95" t="str">
            <v>PANAMA</v>
          </cell>
        </row>
        <row r="96">
          <cell r="A96">
            <v>91</v>
          </cell>
          <cell r="B96" t="str">
            <v>MSC REGINA</v>
          </cell>
          <cell r="C96">
            <v>259.5</v>
          </cell>
          <cell r="D96">
            <v>32.200000000000003</v>
          </cell>
          <cell r="E96">
            <v>13.02</v>
          </cell>
          <cell r="F96">
            <v>12.797485690556565</v>
          </cell>
          <cell r="G96">
            <v>19</v>
          </cell>
          <cell r="H96">
            <v>56880</v>
          </cell>
          <cell r="I96">
            <v>40631</v>
          </cell>
          <cell r="J96">
            <v>23676</v>
          </cell>
          <cell r="K96">
            <v>108793.81800000001</v>
          </cell>
          <cell r="L96">
            <v>108627</v>
          </cell>
          <cell r="M96">
            <v>158762.10000000003</v>
          </cell>
          <cell r="N96">
            <v>108627</v>
          </cell>
          <cell r="O96">
            <v>1</v>
          </cell>
          <cell r="P96" t="str">
            <v>PANAMA</v>
          </cell>
        </row>
        <row r="97">
          <cell r="A97">
            <v>92</v>
          </cell>
          <cell r="B97" t="str">
            <v>MSC RHONE</v>
          </cell>
          <cell r="C97">
            <v>216</v>
          </cell>
          <cell r="D97">
            <v>32.200000000000003</v>
          </cell>
          <cell r="E97">
            <v>11.5</v>
          </cell>
          <cell r="F97">
            <v>11.675697837816806</v>
          </cell>
          <cell r="G97">
            <v>21.6</v>
          </cell>
          <cell r="H97">
            <v>29701</v>
          </cell>
          <cell r="I97">
            <v>36133</v>
          </cell>
          <cell r="J97">
            <v>14023</v>
          </cell>
          <cell r="K97">
            <v>81206.813601583461</v>
          </cell>
          <cell r="L97">
            <v>81629</v>
          </cell>
          <cell r="M97">
            <v>150232.32000000004</v>
          </cell>
          <cell r="N97">
            <v>81629</v>
          </cell>
          <cell r="O97">
            <v>1</v>
          </cell>
          <cell r="P97" t="str">
            <v>PANAMA</v>
          </cell>
        </row>
        <row r="98">
          <cell r="A98">
            <v>93</v>
          </cell>
          <cell r="B98" t="str">
            <v>MSC ROBERTA</v>
          </cell>
          <cell r="C98">
            <v>244</v>
          </cell>
          <cell r="D98">
            <v>32.200000000000003</v>
          </cell>
          <cell r="E98">
            <v>12.52</v>
          </cell>
          <cell r="F98">
            <v>12.409402886521173</v>
          </cell>
          <cell r="G98">
            <v>21.4</v>
          </cell>
          <cell r="H98">
            <v>43567</v>
          </cell>
          <cell r="I98">
            <v>39892</v>
          </cell>
          <cell r="J98">
            <v>22262</v>
          </cell>
          <cell r="K98">
            <v>98367.136000000013</v>
          </cell>
          <cell r="L98">
            <v>98515</v>
          </cell>
          <cell r="M98">
            <v>168135.52000000002</v>
          </cell>
          <cell r="N98">
            <v>98210</v>
          </cell>
          <cell r="O98">
            <v>1</v>
          </cell>
          <cell r="P98" t="str">
            <v>PANAMA</v>
          </cell>
        </row>
        <row r="99">
          <cell r="A99">
            <v>94</v>
          </cell>
          <cell r="B99" t="str">
            <v>MSC ROSSELLA</v>
          </cell>
          <cell r="C99">
            <v>242.81</v>
          </cell>
          <cell r="D99">
            <v>32.26</v>
          </cell>
          <cell r="E99">
            <v>12.1</v>
          </cell>
          <cell r="F99">
            <v>12.390633226756412</v>
          </cell>
          <cell r="G99">
            <v>19</v>
          </cell>
          <cell r="H99">
            <v>46232</v>
          </cell>
          <cell r="I99">
            <v>37398</v>
          </cell>
          <cell r="J99">
            <v>21770</v>
          </cell>
          <cell r="K99">
            <v>97056.457031224243</v>
          </cell>
          <cell r="L99">
            <v>97246</v>
          </cell>
          <cell r="M99">
            <v>148827.9614</v>
          </cell>
          <cell r="N99">
            <v>97246</v>
          </cell>
          <cell r="O99">
            <v>1</v>
          </cell>
          <cell r="P99" t="str">
            <v>PANAMA</v>
          </cell>
        </row>
        <row r="100">
          <cell r="A100">
            <v>95</v>
          </cell>
          <cell r="B100" t="str">
            <v>MSC SABRINA</v>
          </cell>
          <cell r="C100">
            <v>242.6</v>
          </cell>
          <cell r="D100">
            <v>32.200000000000003</v>
          </cell>
          <cell r="E100">
            <v>12.135</v>
          </cell>
          <cell r="F100">
            <v>12.373750926861264</v>
          </cell>
          <cell r="G100">
            <v>19</v>
          </cell>
          <cell r="H100">
            <v>45703</v>
          </cell>
          <cell r="I100">
            <v>35598</v>
          </cell>
          <cell r="J100">
            <v>15815</v>
          </cell>
          <cell r="K100">
            <v>96660.277590380676</v>
          </cell>
          <cell r="L100">
            <v>96865</v>
          </cell>
          <cell r="M100">
            <v>148422.68</v>
          </cell>
          <cell r="N100">
            <v>96865</v>
          </cell>
          <cell r="O100">
            <v>1</v>
          </cell>
          <cell r="P100" t="str">
            <v>PANAMA</v>
          </cell>
        </row>
        <row r="101">
          <cell r="A101">
            <v>96</v>
          </cell>
          <cell r="B101" t="str">
            <v>MSC SALERNO</v>
          </cell>
          <cell r="C101">
            <v>292.2</v>
          </cell>
          <cell r="D101">
            <v>32.229999999999997</v>
          </cell>
          <cell r="E101">
            <v>13.03</v>
          </cell>
          <cell r="F101">
            <v>13.586209095991419</v>
          </cell>
          <cell r="G101">
            <v>21.2</v>
          </cell>
          <cell r="H101">
            <v>59093</v>
          </cell>
          <cell r="I101">
            <v>50350</v>
          </cell>
          <cell r="J101">
            <v>28396</v>
          </cell>
          <cell r="K101">
            <v>127949.56429966334</v>
          </cell>
          <cell r="L101">
            <v>127960</v>
          </cell>
          <cell r="M101">
            <v>199653.24719999995</v>
          </cell>
          <cell r="N101">
            <v>127960</v>
          </cell>
          <cell r="O101">
            <v>1</v>
          </cell>
          <cell r="P101" t="str">
            <v>ROYAUME UNI</v>
          </cell>
        </row>
        <row r="102">
          <cell r="A102">
            <v>97</v>
          </cell>
          <cell r="B102" t="str">
            <v>MSC SANDRA</v>
          </cell>
          <cell r="C102">
            <v>273.7</v>
          </cell>
          <cell r="D102">
            <v>32.200000000000003</v>
          </cell>
          <cell r="E102">
            <v>13.02</v>
          </cell>
          <cell r="F102">
            <v>13.14296557098131</v>
          </cell>
          <cell r="G102">
            <v>19</v>
          </cell>
          <cell r="H102">
            <v>61468</v>
          </cell>
          <cell r="I102">
            <v>43575</v>
          </cell>
          <cell r="J102">
            <v>25945</v>
          </cell>
          <cell r="K102">
            <v>115830.79559223824</v>
          </cell>
          <cell r="L102">
            <v>115452</v>
          </cell>
          <cell r="M102">
            <v>167449.66000000003</v>
          </cell>
          <cell r="N102">
            <v>115452</v>
          </cell>
          <cell r="O102">
            <v>1</v>
          </cell>
          <cell r="P102" t="str">
            <v>PANAMA</v>
          </cell>
        </row>
        <row r="103">
          <cell r="A103">
            <v>98</v>
          </cell>
          <cell r="B103" t="str">
            <v>MSC SANTHYA</v>
          </cell>
          <cell r="C103">
            <v>237</v>
          </cell>
          <cell r="D103">
            <v>32.200000000000003</v>
          </cell>
          <cell r="E103">
            <v>12.24</v>
          </cell>
          <cell r="F103">
            <v>12.230103842568143</v>
          </cell>
          <cell r="G103">
            <v>18.8</v>
          </cell>
          <cell r="H103">
            <v>47127</v>
          </cell>
          <cell r="I103">
            <v>37071</v>
          </cell>
          <cell r="J103">
            <v>15889</v>
          </cell>
          <cell r="K103">
            <v>93408.33600000001</v>
          </cell>
          <cell r="L103">
            <v>93103</v>
          </cell>
          <cell r="M103">
            <v>143470.32</v>
          </cell>
          <cell r="N103">
            <v>93103</v>
          </cell>
          <cell r="O103">
            <v>1</v>
          </cell>
          <cell r="P103" t="str">
            <v>PANAMA</v>
          </cell>
        </row>
        <row r="104">
          <cell r="A104">
            <v>99</v>
          </cell>
          <cell r="B104" t="str">
            <v>MSC SARDINIA</v>
          </cell>
          <cell r="C104">
            <v>241.1</v>
          </cell>
          <cell r="D104">
            <v>32.299999999999997</v>
          </cell>
          <cell r="E104">
            <v>11.73</v>
          </cell>
          <cell r="F104">
            <v>12.354577613176422</v>
          </cell>
          <cell r="G104">
            <v>19.03</v>
          </cell>
          <cell r="H104">
            <v>42880</v>
          </cell>
          <cell r="I104">
            <v>36270</v>
          </cell>
          <cell r="J104">
            <v>14811</v>
          </cell>
          <cell r="K104">
            <v>96211.643799939775</v>
          </cell>
          <cell r="L104">
            <v>95786</v>
          </cell>
          <cell r="M104">
            <v>148196.69589999999</v>
          </cell>
          <cell r="N104">
            <v>95490</v>
          </cell>
          <cell r="O104">
            <v>1</v>
          </cell>
          <cell r="P104" t="str">
            <v>CYPRUS</v>
          </cell>
        </row>
        <row r="105">
          <cell r="A105">
            <v>100</v>
          </cell>
          <cell r="B105" t="str">
            <v>MSC SARISKA</v>
          </cell>
          <cell r="C105">
            <v>174.85</v>
          </cell>
          <cell r="D105">
            <v>22.8</v>
          </cell>
          <cell r="E105">
            <v>9.8699999999999992</v>
          </cell>
          <cell r="F105">
            <v>8.8395117512224637</v>
          </cell>
          <cell r="G105">
            <v>13.5</v>
          </cell>
          <cell r="H105">
            <v>18836</v>
          </cell>
          <cell r="I105">
            <v>13276</v>
          </cell>
          <cell r="J105">
            <v>6851</v>
          </cell>
          <cell r="K105">
            <v>39347.544599999994</v>
          </cell>
          <cell r="L105">
            <v>39651</v>
          </cell>
          <cell r="M105">
            <v>53818.83</v>
          </cell>
          <cell r="N105">
            <v>39478</v>
          </cell>
          <cell r="P105" t="str">
            <v>PANAMA</v>
          </cell>
        </row>
        <row r="106">
          <cell r="A106">
            <v>101</v>
          </cell>
          <cell r="B106" t="str">
            <v>MSC SCANDINAVIA</v>
          </cell>
          <cell r="C106">
            <v>260.7</v>
          </cell>
          <cell r="D106">
            <v>32.25</v>
          </cell>
          <cell r="E106">
            <v>12.52</v>
          </cell>
          <cell r="F106">
            <v>12.83699614395829</v>
          </cell>
          <cell r="G106">
            <v>19.3</v>
          </cell>
          <cell r="H106">
            <v>52250</v>
          </cell>
          <cell r="I106">
            <v>40306</v>
          </cell>
          <cell r="J106">
            <v>24815</v>
          </cell>
          <cell r="K106">
            <v>107928.00785504011</v>
          </cell>
          <cell r="L106">
            <v>108626</v>
          </cell>
          <cell r="M106">
            <v>162266.19749999998</v>
          </cell>
          <cell r="N106">
            <v>107409</v>
          </cell>
          <cell r="O106">
            <v>1</v>
          </cell>
          <cell r="P106" t="str">
            <v>ANTIGUA BARBUDA</v>
          </cell>
        </row>
        <row r="107">
          <cell r="A107">
            <v>102</v>
          </cell>
          <cell r="B107" t="str">
            <v>MSC SCOTLAND</v>
          </cell>
          <cell r="C107">
            <v>237</v>
          </cell>
          <cell r="D107">
            <v>32.26</v>
          </cell>
          <cell r="E107">
            <v>11.97</v>
          </cell>
          <cell r="F107">
            <v>12.241493046193344</v>
          </cell>
          <cell r="G107">
            <v>18.8</v>
          </cell>
          <cell r="H107">
            <v>47120</v>
          </cell>
          <cell r="I107">
            <v>37071</v>
          </cell>
          <cell r="J107">
            <v>15889</v>
          </cell>
          <cell r="K107">
            <v>93593.804063836753</v>
          </cell>
          <cell r="L107">
            <v>94158</v>
          </cell>
          <cell r="M107">
            <v>143737.65600000002</v>
          </cell>
          <cell r="N107">
            <v>93103</v>
          </cell>
          <cell r="O107">
            <v>1</v>
          </cell>
          <cell r="P107" t="str">
            <v>LIBERIA</v>
          </cell>
        </row>
        <row r="108">
          <cell r="A108">
            <v>103</v>
          </cell>
          <cell r="B108" t="str">
            <v>MSC SICILY</v>
          </cell>
          <cell r="C108">
            <v>186</v>
          </cell>
          <cell r="D108">
            <v>27.6</v>
          </cell>
          <cell r="E108">
            <v>10.62</v>
          </cell>
          <cell r="F108">
            <v>10.030880320290937</v>
          </cell>
          <cell r="G108">
            <v>16.2</v>
          </cell>
          <cell r="H108">
            <v>24389</v>
          </cell>
          <cell r="I108">
            <v>20676</v>
          </cell>
          <cell r="J108">
            <v>8871</v>
          </cell>
          <cell r="K108">
            <v>54518.832000000002</v>
          </cell>
          <cell r="L108">
            <v>54613</v>
          </cell>
          <cell r="M108">
            <v>83164.320000000007</v>
          </cell>
          <cell r="N108">
            <v>53233</v>
          </cell>
          <cell r="O108">
            <v>0</v>
          </cell>
          <cell r="P108" t="str">
            <v>GREEK</v>
          </cell>
        </row>
        <row r="109">
          <cell r="A109">
            <v>104</v>
          </cell>
          <cell r="B109" t="str">
            <v>MSC SOPHIE</v>
          </cell>
          <cell r="C109">
            <v>241.42</v>
          </cell>
          <cell r="D109">
            <v>32.200000000000003</v>
          </cell>
          <cell r="E109">
            <v>12.122999999999999</v>
          </cell>
          <cell r="F109">
            <v>12.343621445912865</v>
          </cell>
          <cell r="G109">
            <v>19</v>
          </cell>
          <cell r="H109">
            <v>45922</v>
          </cell>
          <cell r="I109">
            <v>37398</v>
          </cell>
          <cell r="J109">
            <v>20334</v>
          </cell>
          <cell r="K109">
            <v>95955.906281007541</v>
          </cell>
          <cell r="L109">
            <v>96985</v>
          </cell>
          <cell r="M109">
            <v>147700.75599999999</v>
          </cell>
          <cell r="N109">
            <v>95609</v>
          </cell>
          <cell r="O109">
            <v>1</v>
          </cell>
          <cell r="P109" t="str">
            <v>PANAMA</v>
          </cell>
        </row>
        <row r="110">
          <cell r="A110">
            <v>105</v>
          </cell>
          <cell r="B110" t="str">
            <v>MSC SPLENDIDA</v>
          </cell>
          <cell r="C110">
            <v>335</v>
          </cell>
          <cell r="D110">
            <v>50.5</v>
          </cell>
          <cell r="E110">
            <v>8.68</v>
          </cell>
          <cell r="F110">
            <v>18.20942063877926</v>
          </cell>
          <cell r="G110">
            <v>15.05</v>
          </cell>
          <cell r="I110">
            <v>137936</v>
          </cell>
          <cell r="J110">
            <v>107916</v>
          </cell>
          <cell r="K110">
            <v>308057.87365654815</v>
          </cell>
          <cell r="L110">
            <v>306337</v>
          </cell>
          <cell r="M110">
            <v>254608.375</v>
          </cell>
          <cell r="O110">
            <v>3</v>
          </cell>
          <cell r="P110" t="str">
            <v>PANAMA</v>
          </cell>
        </row>
        <row r="111">
          <cell r="A111">
            <v>106</v>
          </cell>
          <cell r="B111" t="str">
            <v>MSC SUEZ</v>
          </cell>
          <cell r="C111">
            <v>237</v>
          </cell>
          <cell r="D111">
            <v>32.200000000000003</v>
          </cell>
          <cell r="E111">
            <v>12</v>
          </cell>
          <cell r="F111">
            <v>12.230103842568143</v>
          </cell>
          <cell r="G111">
            <v>18.8</v>
          </cell>
          <cell r="H111">
            <v>61605</v>
          </cell>
          <cell r="I111">
            <v>37071</v>
          </cell>
          <cell r="J111">
            <v>15889</v>
          </cell>
          <cell r="K111">
            <v>93332.814464174531</v>
          </cell>
          <cell r="L111">
            <v>94436</v>
          </cell>
          <cell r="M111">
            <v>143470.32</v>
          </cell>
          <cell r="N111">
            <v>93103</v>
          </cell>
          <cell r="O111">
            <v>1</v>
          </cell>
          <cell r="P111" t="str">
            <v>PANAMA</v>
          </cell>
        </row>
        <row r="112">
          <cell r="A112">
            <v>107</v>
          </cell>
          <cell r="B112" t="str">
            <v>MSC TAMARA</v>
          </cell>
          <cell r="C112">
            <v>265</v>
          </cell>
          <cell r="D112">
            <v>32.25</v>
          </cell>
          <cell r="E112">
            <v>12.6</v>
          </cell>
          <cell r="F112">
            <v>12.942430220016643</v>
          </cell>
          <cell r="G112">
            <v>19.3</v>
          </cell>
          <cell r="H112">
            <v>50695</v>
          </cell>
          <cell r="I112">
            <v>41225</v>
          </cell>
          <cell r="J112">
            <v>24035</v>
          </cell>
          <cell r="K112">
            <v>110609.24426781724</v>
          </cell>
          <cell r="L112">
            <v>111274</v>
          </cell>
          <cell r="M112">
            <v>164942.625</v>
          </cell>
          <cell r="N112">
            <v>111274</v>
          </cell>
          <cell r="O112">
            <v>1</v>
          </cell>
          <cell r="P112" t="str">
            <v>PANAMA</v>
          </cell>
        </row>
        <row r="113">
          <cell r="A113">
            <v>108</v>
          </cell>
          <cell r="B113" t="str">
            <v>MSC TASMANIA</v>
          </cell>
          <cell r="C113">
            <v>215.65</v>
          </cell>
          <cell r="D113">
            <v>32.28</v>
          </cell>
          <cell r="E113">
            <v>12.5</v>
          </cell>
          <cell r="F113">
            <v>11.680717751919188</v>
          </cell>
          <cell r="G113">
            <v>19.399999999999999</v>
          </cell>
          <cell r="H113">
            <v>45696</v>
          </cell>
          <cell r="I113">
            <v>34231</v>
          </cell>
          <cell r="J113">
            <v>16058</v>
          </cell>
          <cell r="K113">
            <v>87014.775000000009</v>
          </cell>
          <cell r="L113">
            <v>87089</v>
          </cell>
          <cell r="M113">
            <v>135046.9308</v>
          </cell>
          <cell r="N113">
            <v>86819</v>
          </cell>
          <cell r="O113">
            <v>1</v>
          </cell>
          <cell r="P113" t="str">
            <v>PANAMA</v>
          </cell>
        </row>
        <row r="114">
          <cell r="A114">
            <v>109</v>
          </cell>
          <cell r="B114" t="str">
            <v>MSC TIA</v>
          </cell>
          <cell r="C114">
            <v>261.02</v>
          </cell>
          <cell r="D114">
            <v>32.31</v>
          </cell>
          <cell r="E114">
            <v>11.6</v>
          </cell>
          <cell r="F114">
            <v>12.856815372400742</v>
          </cell>
          <cell r="G114">
            <v>21.5</v>
          </cell>
          <cell r="H114">
            <v>46987</v>
          </cell>
          <cell r="I114">
            <v>47667</v>
          </cell>
          <cell r="J114">
            <v>15637</v>
          </cell>
          <cell r="K114">
            <v>108428.6749961656</v>
          </cell>
          <cell r="L114">
            <v>108751</v>
          </cell>
          <cell r="M114">
            <v>181321.45830000003</v>
          </cell>
          <cell r="N114">
            <v>107574</v>
          </cell>
          <cell r="O114">
            <v>1</v>
          </cell>
          <cell r="P114" t="str">
            <v>PANAMA</v>
          </cell>
        </row>
        <row r="115">
          <cell r="A115">
            <v>110</v>
          </cell>
          <cell r="B115" t="str">
            <v>MSC TOGO</v>
          </cell>
          <cell r="C115">
            <v>205.96</v>
          </cell>
          <cell r="D115">
            <v>30.97</v>
          </cell>
          <cell r="E115">
            <v>10.210000000000001</v>
          </cell>
          <cell r="F115">
            <v>11.181242843262103</v>
          </cell>
          <cell r="G115">
            <v>18.75</v>
          </cell>
          <cell r="H115">
            <v>23678</v>
          </cell>
          <cell r="I115">
            <v>30175</v>
          </cell>
          <cell r="J115">
            <v>9052</v>
          </cell>
          <cell r="K115">
            <v>71320.465392666199</v>
          </cell>
          <cell r="L115">
            <v>71523</v>
          </cell>
          <cell r="M115">
            <v>119598.39749999999</v>
          </cell>
          <cell r="N115">
            <v>71523</v>
          </cell>
          <cell r="O115">
            <v>1</v>
          </cell>
          <cell r="P115" t="str">
            <v>LIBERIA</v>
          </cell>
        </row>
        <row r="116">
          <cell r="A116">
            <v>111</v>
          </cell>
          <cell r="B116" t="str">
            <v>MSC ULSAN</v>
          </cell>
          <cell r="C116">
            <v>258</v>
          </cell>
          <cell r="D116">
            <v>32.25</v>
          </cell>
          <cell r="E116">
            <v>12.5</v>
          </cell>
          <cell r="F116">
            <v>12.770348468229049</v>
          </cell>
          <cell r="G116">
            <v>19.3</v>
          </cell>
          <cell r="H116">
            <v>52785</v>
          </cell>
          <cell r="I116">
            <v>40108</v>
          </cell>
          <cell r="J116">
            <v>24680</v>
          </cell>
          <cell r="K116">
            <v>106255.6844298998</v>
          </cell>
          <cell r="L116">
            <v>106627</v>
          </cell>
          <cell r="M116">
            <v>160585.65</v>
          </cell>
          <cell r="N116">
            <v>106626</v>
          </cell>
          <cell r="O116">
            <v>1</v>
          </cell>
          <cell r="P116" t="str">
            <v>PANAMA</v>
          </cell>
        </row>
        <row r="117">
          <cell r="A117">
            <v>112</v>
          </cell>
          <cell r="B117" t="str">
            <v>MSC VENEZUELA</v>
          </cell>
          <cell r="C117">
            <v>293.5</v>
          </cell>
          <cell r="D117">
            <v>32.299999999999997</v>
          </cell>
          <cell r="E117">
            <v>13.022</v>
          </cell>
          <cell r="F117">
            <v>13.63117676504857</v>
          </cell>
          <cell r="G117">
            <v>21.4</v>
          </cell>
          <cell r="H117">
            <v>60200</v>
          </cell>
          <cell r="I117">
            <v>51931</v>
          </cell>
          <cell r="J117">
            <v>28073</v>
          </cell>
          <cell r="K117">
            <v>129224.23729149869</v>
          </cell>
          <cell r="L117">
            <v>128929</v>
          </cell>
          <cell r="M117">
            <v>202873.06999999998</v>
          </cell>
          <cell r="N117">
            <v>128929</v>
          </cell>
          <cell r="O117">
            <v>1</v>
          </cell>
          <cell r="P117" t="str">
            <v>ROYAUME UNI</v>
          </cell>
        </row>
        <row r="118">
          <cell r="A118">
            <v>113</v>
          </cell>
          <cell r="B118" t="str">
            <v>MSC VIENNA</v>
          </cell>
          <cell r="C118">
            <v>260.14999999999998</v>
          </cell>
          <cell r="D118">
            <v>32.200000000000003</v>
          </cell>
          <cell r="E118">
            <v>12</v>
          </cell>
          <cell r="F118">
            <v>12.81350334607987</v>
          </cell>
          <cell r="G118">
            <v>16.5</v>
          </cell>
          <cell r="H118">
            <v>48874</v>
          </cell>
          <cell r="I118">
            <v>41078</v>
          </cell>
          <cell r="J118">
            <v>23997</v>
          </cell>
          <cell r="K118">
            <v>107336.53923454223</v>
          </cell>
          <cell r="L118">
            <v>107244</v>
          </cell>
          <cell r="M118">
            <v>138217.69500000001</v>
          </cell>
          <cell r="N118">
            <v>107244</v>
          </cell>
          <cell r="O118">
            <v>1</v>
          </cell>
          <cell r="P118" t="str">
            <v>LIBERIA</v>
          </cell>
        </row>
        <row r="119">
          <cell r="A119">
            <v>114</v>
          </cell>
          <cell r="B119" t="str">
            <v>BROWNSVILLE</v>
          </cell>
          <cell r="C119">
            <v>294.10000000000002</v>
          </cell>
          <cell r="D119">
            <v>32.28</v>
          </cell>
          <cell r="E119">
            <v>12.02</v>
          </cell>
          <cell r="F119">
            <v>13.640877567077569</v>
          </cell>
          <cell r="G119">
            <v>21.4</v>
          </cell>
          <cell r="H119">
            <v>53215</v>
          </cell>
          <cell r="I119">
            <v>48853</v>
          </cell>
          <cell r="J119">
            <v>16832</v>
          </cell>
          <cell r="K119">
            <v>129500.32594517413</v>
          </cell>
          <cell r="L119">
            <v>130142</v>
          </cell>
          <cell r="M119">
            <v>203161.92720000001</v>
          </cell>
          <cell r="N119">
            <v>128661</v>
          </cell>
          <cell r="O119">
            <v>1</v>
          </cell>
          <cell r="P119" t="str">
            <v>DANOIS</v>
          </cell>
        </row>
        <row r="120">
          <cell r="A120">
            <v>115</v>
          </cell>
          <cell r="B120" t="str">
            <v>MSC YOKOHAMA</v>
          </cell>
          <cell r="C120">
            <v>202.98</v>
          </cell>
          <cell r="D120">
            <v>30.56</v>
          </cell>
          <cell r="E120">
            <v>10.87</v>
          </cell>
          <cell r="F120">
            <v>11.026338852039693</v>
          </cell>
          <cell r="G120">
            <v>19</v>
          </cell>
          <cell r="H120">
            <v>14359</v>
          </cell>
          <cell r="I120">
            <v>30249</v>
          </cell>
          <cell r="J120">
            <v>12376</v>
          </cell>
          <cell r="K120">
            <v>68397.138511315221</v>
          </cell>
          <cell r="L120">
            <v>68330</v>
          </cell>
          <cell r="M120">
            <v>117858.30719999998</v>
          </cell>
          <cell r="N120">
            <v>68107</v>
          </cell>
          <cell r="O120">
            <v>1</v>
          </cell>
          <cell r="P120" t="str">
            <v>GREEK</v>
          </cell>
        </row>
        <row r="121">
          <cell r="A121">
            <v>116</v>
          </cell>
          <cell r="B121" t="str">
            <v>MV EILBEK</v>
          </cell>
          <cell r="C121">
            <v>169</v>
          </cell>
          <cell r="D121">
            <v>27.2</v>
          </cell>
          <cell r="E121">
            <v>9</v>
          </cell>
          <cell r="F121">
            <v>9.491958701975058</v>
          </cell>
          <cell r="G121">
            <v>15.1</v>
          </cell>
          <cell r="H121">
            <v>15952</v>
          </cell>
          <cell r="I121">
            <v>16324</v>
          </cell>
          <cell r="J121">
            <v>6450</v>
          </cell>
          <cell r="K121">
            <v>43632.635761238947</v>
          </cell>
          <cell r="L121">
            <v>43670</v>
          </cell>
          <cell r="M121">
            <v>69411.680000000008</v>
          </cell>
          <cell r="N121">
            <v>43670</v>
          </cell>
        </row>
        <row r="122">
          <cell r="A122">
            <v>117</v>
          </cell>
          <cell r="B122" t="str">
            <v>P&amp;O KILINDINI</v>
          </cell>
          <cell r="C122">
            <v>184</v>
          </cell>
          <cell r="D122">
            <v>27.06</v>
          </cell>
          <cell r="E122">
            <v>11.03</v>
          </cell>
          <cell r="F122">
            <v>9.8787238042168202</v>
          </cell>
          <cell r="G122">
            <v>16.2</v>
          </cell>
          <cell r="H122">
            <v>25215</v>
          </cell>
          <cell r="I122">
            <v>19872</v>
          </cell>
          <cell r="J122">
            <v>11278</v>
          </cell>
          <cell r="K122">
            <v>54918.811199999996</v>
          </cell>
          <cell r="L122">
            <v>54900</v>
          </cell>
          <cell r="M122">
            <v>80660.447999999989</v>
          </cell>
          <cell r="N122">
            <v>54648</v>
          </cell>
          <cell r="P122" t="str">
            <v>MALTESE</v>
          </cell>
        </row>
        <row r="123">
          <cell r="A123">
            <v>118</v>
          </cell>
          <cell r="B123" t="str">
            <v>PACIFIC VOYAGER</v>
          </cell>
          <cell r="C123">
            <v>207.4</v>
          </cell>
          <cell r="D123">
            <v>29.86</v>
          </cell>
          <cell r="E123">
            <v>11.4</v>
          </cell>
          <cell r="F123">
            <v>11.01735423774692</v>
          </cell>
          <cell r="G123">
            <v>29.8</v>
          </cell>
          <cell r="H123">
            <v>34000</v>
          </cell>
          <cell r="I123">
            <v>25637</v>
          </cell>
          <cell r="J123">
            <v>12733</v>
          </cell>
          <cell r="K123">
            <v>70599.789600000004</v>
          </cell>
          <cell r="L123">
            <v>70695</v>
          </cell>
          <cell r="M123">
            <v>184550.3272</v>
          </cell>
          <cell r="N123">
            <v>70695</v>
          </cell>
          <cell r="O123">
            <v>1</v>
          </cell>
          <cell r="P123" t="str">
            <v>ANTIGUA</v>
          </cell>
        </row>
        <row r="124">
          <cell r="A124">
            <v>119</v>
          </cell>
          <cell r="B124" t="str">
            <v>PETKUM</v>
          </cell>
          <cell r="C124">
            <v>161.09</v>
          </cell>
          <cell r="D124">
            <v>25</v>
          </cell>
          <cell r="E124">
            <v>10.5</v>
          </cell>
          <cell r="F124">
            <v>8.8844864792513487</v>
          </cell>
          <cell r="G124">
            <v>13.9</v>
          </cell>
          <cell r="H124">
            <v>16975</v>
          </cell>
          <cell r="I124">
            <v>15663</v>
          </cell>
          <cell r="J124">
            <v>6717</v>
          </cell>
          <cell r="K124">
            <v>42286.125</v>
          </cell>
          <cell r="L124">
            <v>42289</v>
          </cell>
          <cell r="M124">
            <v>55978.775000000001</v>
          </cell>
          <cell r="N124">
            <v>42291</v>
          </cell>
        </row>
        <row r="125">
          <cell r="A125">
            <v>120</v>
          </cell>
          <cell r="B125" t="str">
            <v>SANDY RICKMERS</v>
          </cell>
          <cell r="C125">
            <v>158.69999999999999</v>
          </cell>
          <cell r="D125">
            <v>25.6</v>
          </cell>
          <cell r="E125">
            <v>9.1999999999999993</v>
          </cell>
          <cell r="F125">
            <v>8.9235257605948561</v>
          </cell>
          <cell r="G125">
            <v>13.7</v>
          </cell>
          <cell r="H125">
            <v>15316</v>
          </cell>
          <cell r="I125">
            <v>14290</v>
          </cell>
          <cell r="J125">
            <v>4914</v>
          </cell>
          <cell r="K125">
            <v>37377.023999999998</v>
          </cell>
          <cell r="L125">
            <v>37401</v>
          </cell>
          <cell r="M125">
            <v>55659.263999999996</v>
          </cell>
          <cell r="N125">
            <v>37401</v>
          </cell>
          <cell r="O125">
            <v>1</v>
          </cell>
          <cell r="P125" t="str">
            <v>MARSHALL ISLANDS</v>
          </cell>
        </row>
        <row r="126">
          <cell r="A126">
            <v>121</v>
          </cell>
          <cell r="B126" t="str">
            <v>WEC BRUEGHEL</v>
          </cell>
          <cell r="C126">
            <v>121.76</v>
          </cell>
          <cell r="D126">
            <v>18.45</v>
          </cell>
          <cell r="E126">
            <v>6.69</v>
          </cell>
          <cell r="F126">
            <v>6.6355746699136775</v>
          </cell>
          <cell r="H126">
            <v>7224</v>
          </cell>
          <cell r="I126">
            <v>6362</v>
          </cell>
          <cell r="J126">
            <v>3998</v>
          </cell>
          <cell r="K126">
            <v>15028.897680000002</v>
          </cell>
          <cell r="L126">
            <v>15048</v>
          </cell>
          <cell r="M126">
            <v>0</v>
          </cell>
          <cell r="N126">
            <v>15097</v>
          </cell>
          <cell r="O126">
            <v>1</v>
          </cell>
          <cell r="P126" t="str">
            <v>UNITED KINGDOMS</v>
          </cell>
        </row>
        <row r="127">
          <cell r="A127">
            <v>122</v>
          </cell>
          <cell r="B127" t="str">
            <v>WEC ROTTERDAM</v>
          </cell>
          <cell r="C127">
            <v>184</v>
          </cell>
          <cell r="D127">
            <v>27.06</v>
          </cell>
          <cell r="E127">
            <v>11.03</v>
          </cell>
          <cell r="F127">
            <v>9.8787238042168202</v>
          </cell>
          <cell r="G127">
            <v>16.2</v>
          </cell>
          <cell r="H127">
            <v>25215</v>
          </cell>
          <cell r="I127">
            <v>19872</v>
          </cell>
          <cell r="J127">
            <v>11278</v>
          </cell>
          <cell r="K127">
            <v>54918.811199999996</v>
          </cell>
          <cell r="L127">
            <v>54900</v>
          </cell>
          <cell r="M127">
            <v>80660.447999999989</v>
          </cell>
          <cell r="N127">
            <v>54648</v>
          </cell>
          <cell r="O127">
            <v>1</v>
          </cell>
          <cell r="P127" t="str">
            <v>CYPRUS</v>
          </cell>
        </row>
        <row r="128">
          <cell r="A128">
            <v>123</v>
          </cell>
          <cell r="B128" t="str">
            <v>ARIES</v>
          </cell>
          <cell r="C128">
            <v>194.06</v>
          </cell>
          <cell r="D128">
            <v>28.26</v>
          </cell>
          <cell r="E128">
            <v>11.52</v>
          </cell>
          <cell r="F128">
            <v>10.36769298156538</v>
          </cell>
          <cell r="G128">
            <v>16.8</v>
          </cell>
          <cell r="H128">
            <v>29286</v>
          </cell>
          <cell r="I128">
            <v>23722</v>
          </cell>
          <cell r="J128">
            <v>9843</v>
          </cell>
          <cell r="K128">
            <v>62946</v>
          </cell>
          <cell r="L128">
            <v>62946</v>
          </cell>
          <cell r="M128">
            <v>63170</v>
          </cell>
          <cell r="N128">
            <v>63170</v>
          </cell>
          <cell r="O128">
            <v>1</v>
          </cell>
          <cell r="P128" t="str">
            <v>MARSHALL ISLANDS</v>
          </cell>
        </row>
        <row r="129">
          <cell r="A129">
            <v>124</v>
          </cell>
          <cell r="B129" t="str">
            <v>NORTHERN DIGNITY</v>
          </cell>
          <cell r="C129">
            <v>244.9</v>
          </cell>
          <cell r="D129">
            <v>32.28</v>
          </cell>
          <cell r="E129">
            <v>12.4</v>
          </cell>
          <cell r="F129">
            <v>12.447702245796211</v>
          </cell>
          <cell r="H129">
            <v>45217.5</v>
          </cell>
          <cell r="I129">
            <v>36606</v>
          </cell>
          <cell r="J129">
            <v>20779</v>
          </cell>
          <cell r="K129">
            <v>98403.716798254492</v>
          </cell>
          <cell r="L129">
            <v>98088</v>
          </cell>
          <cell r="M129">
            <v>0</v>
          </cell>
          <cell r="N129">
            <v>97784</v>
          </cell>
          <cell r="O129">
            <v>1</v>
          </cell>
          <cell r="P129" t="str">
            <v>LIBERIA</v>
          </cell>
        </row>
        <row r="130">
          <cell r="A130">
            <v>125</v>
          </cell>
          <cell r="B130" t="str">
            <v>IRENES DREAM</v>
          </cell>
          <cell r="C130">
            <v>232.5</v>
          </cell>
          <cell r="D130">
            <v>32.200000000000003</v>
          </cell>
          <cell r="E130">
            <v>12.02</v>
          </cell>
          <cell r="F130">
            <v>12.113438818106113</v>
          </cell>
          <cell r="H130">
            <v>47272.9</v>
          </cell>
          <cell r="I130">
            <v>37410</v>
          </cell>
          <cell r="J130">
            <v>21426</v>
          </cell>
          <cell r="K130">
            <v>90687.259711751423</v>
          </cell>
          <cell r="L130">
            <v>90869</v>
          </cell>
          <cell r="M130">
            <v>0</v>
          </cell>
          <cell r="N130">
            <v>90587</v>
          </cell>
          <cell r="O130">
            <v>1</v>
          </cell>
          <cell r="P130" t="str">
            <v>LIMASSOL</v>
          </cell>
        </row>
        <row r="131">
          <cell r="A131">
            <v>126</v>
          </cell>
          <cell r="B131" t="str">
            <v>AS ANDALUSIA</v>
          </cell>
          <cell r="C131">
            <v>195.6</v>
          </cell>
          <cell r="D131">
            <v>30.2</v>
          </cell>
          <cell r="E131">
            <v>11.01</v>
          </cell>
          <cell r="F131">
            <v>10.760090705937381</v>
          </cell>
          <cell r="H131">
            <v>30554</v>
          </cell>
          <cell r="I131">
            <v>26407</v>
          </cell>
          <cell r="J131">
            <v>10209</v>
          </cell>
          <cell r="K131">
            <v>65037.391199999998</v>
          </cell>
          <cell r="L131">
            <v>64978</v>
          </cell>
          <cell r="M131">
            <v>0</v>
          </cell>
          <cell r="N131">
            <v>64978</v>
          </cell>
          <cell r="O131">
            <v>0</v>
          </cell>
          <cell r="P131" t="str">
            <v>LIMASSOL</v>
          </cell>
        </row>
        <row r="132">
          <cell r="A132">
            <v>127</v>
          </cell>
          <cell r="B132" t="str">
            <v>LOTUS</v>
          </cell>
          <cell r="C132">
            <v>253.27</v>
          </cell>
          <cell r="D132">
            <v>32.200000000000003</v>
          </cell>
          <cell r="E132">
            <v>12.5</v>
          </cell>
          <cell r="F132">
            <v>12.64293329888282</v>
          </cell>
          <cell r="G132"/>
          <cell r="H132">
            <v>46427</v>
          </cell>
          <cell r="I132">
            <v>42809</v>
          </cell>
          <cell r="J132">
            <v>19558</v>
          </cell>
          <cell r="K132">
            <v>103106.83807477928</v>
          </cell>
          <cell r="L132">
            <v>103702</v>
          </cell>
          <cell r="M132">
            <v>0</v>
          </cell>
          <cell r="N132">
            <v>102769</v>
          </cell>
        </row>
        <row r="133">
          <cell r="A133">
            <v>128</v>
          </cell>
          <cell r="B133" t="str">
            <v>HONOUR</v>
          </cell>
          <cell r="C133">
            <v>275.7</v>
          </cell>
          <cell r="D133">
            <v>32.200000000000003</v>
          </cell>
          <cell r="E133">
            <v>12.52</v>
          </cell>
          <cell r="F133">
            <v>13.19089777081151</v>
          </cell>
          <cell r="H133">
            <v>49263</v>
          </cell>
          <cell r="I133">
            <v>46697</v>
          </cell>
          <cell r="J133">
            <v>21382</v>
          </cell>
          <cell r="K133">
            <v>117102.72259629003</v>
          </cell>
          <cell r="L133">
            <v>117183</v>
          </cell>
          <cell r="M133">
            <v>0</v>
          </cell>
          <cell r="N133">
            <v>117184</v>
          </cell>
          <cell r="O133">
            <v>1</v>
          </cell>
          <cell r="P133" t="str">
            <v>CYPRUS</v>
          </cell>
        </row>
        <row r="134">
          <cell r="A134">
            <v>129</v>
          </cell>
          <cell r="B134" t="str">
            <v>HOPE</v>
          </cell>
          <cell r="C134">
            <v>275.7</v>
          </cell>
          <cell r="D134">
            <v>32.28</v>
          </cell>
          <cell r="E134">
            <v>12.52</v>
          </cell>
          <cell r="F134">
            <v>13.207273814076848</v>
          </cell>
          <cell r="H134">
            <v>49262</v>
          </cell>
          <cell r="I134">
            <v>46697</v>
          </cell>
          <cell r="J134">
            <v>21382</v>
          </cell>
          <cell r="K134">
            <v>117539.40120666305</v>
          </cell>
          <cell r="L134">
            <v>117547</v>
          </cell>
          <cell r="M134">
            <v>0</v>
          </cell>
          <cell r="N134">
            <v>117184</v>
          </cell>
          <cell r="O134">
            <v>1</v>
          </cell>
          <cell r="P134" t="str">
            <v>CYPRUS</v>
          </cell>
        </row>
        <row r="135">
          <cell r="A135">
            <v>130</v>
          </cell>
          <cell r="B135" t="str">
            <v>K-RIVER</v>
          </cell>
          <cell r="C135">
            <v>121.99</v>
          </cell>
          <cell r="D135">
            <v>18.2</v>
          </cell>
          <cell r="E135">
            <v>6.69</v>
          </cell>
          <cell r="F135">
            <v>6.5966865015703151</v>
          </cell>
          <cell r="H135">
            <v>7225</v>
          </cell>
          <cell r="I135">
            <v>6362</v>
          </cell>
          <cell r="J135">
            <v>3998</v>
          </cell>
          <cell r="K135">
            <v>14853.25842</v>
          </cell>
          <cell r="L135">
            <v>15048</v>
          </cell>
          <cell r="M135">
            <v>0</v>
          </cell>
          <cell r="N135">
            <v>14877</v>
          </cell>
          <cell r="O135">
            <v>1</v>
          </cell>
          <cell r="P135" t="str">
            <v>LONDON</v>
          </cell>
        </row>
        <row r="136">
          <cell r="A136">
            <v>131</v>
          </cell>
          <cell r="B136" t="str">
            <v>MAGELLAN COMET</v>
          </cell>
          <cell r="C136">
            <v>133.38999999999999</v>
          </cell>
          <cell r="D136">
            <v>18.95</v>
          </cell>
          <cell r="E136">
            <v>7.24</v>
          </cell>
          <cell r="F136">
            <v>7.0387295586632677</v>
          </cell>
          <cell r="H136">
            <v>7960</v>
          </cell>
          <cell r="I136">
            <v>6277</v>
          </cell>
          <cell r="J136">
            <v>3249</v>
          </cell>
          <cell r="K136">
            <v>18300.841219999995</v>
          </cell>
          <cell r="L136">
            <v>18249</v>
          </cell>
          <cell r="M136">
            <v>0</v>
          </cell>
          <cell r="N136">
            <v>18249</v>
          </cell>
          <cell r="O136">
            <v>1</v>
          </cell>
          <cell r="P136" t="str">
            <v>ANTIGUA</v>
          </cell>
        </row>
        <row r="137">
          <cell r="A137">
            <v>132</v>
          </cell>
          <cell r="B137" t="str">
            <v>WEC VAN GOGH</v>
          </cell>
          <cell r="C137">
            <v>134.44</v>
          </cell>
          <cell r="D137">
            <v>22.75</v>
          </cell>
          <cell r="E137">
            <v>8.7100000000000009</v>
          </cell>
          <cell r="F137">
            <v>7.7425316273167404</v>
          </cell>
          <cell r="H137">
            <v>11376</v>
          </cell>
          <cell r="I137">
            <v>9962</v>
          </cell>
          <cell r="J137">
            <v>6006</v>
          </cell>
          <cell r="K137">
            <v>26639.622100000001</v>
          </cell>
          <cell r="L137">
            <v>26659</v>
          </cell>
          <cell r="M137">
            <v>0</v>
          </cell>
          <cell r="N137">
            <v>26309</v>
          </cell>
          <cell r="O137">
            <v>1</v>
          </cell>
          <cell r="P137" t="str">
            <v>CYPRUS</v>
          </cell>
        </row>
        <row r="138">
          <cell r="A138">
            <v>133</v>
          </cell>
          <cell r="B138" t="str">
            <v>FRISIA BONN</v>
          </cell>
          <cell r="C138">
            <v>189.5</v>
          </cell>
          <cell r="D138">
            <v>27.6</v>
          </cell>
          <cell r="E138">
            <v>11.35</v>
          </cell>
          <cell r="F138">
            <v>10.1248170353839</v>
          </cell>
          <cell r="H138">
            <v>28632</v>
          </cell>
          <cell r="I138">
            <v>21842</v>
          </cell>
          <cell r="J138">
            <v>9251</v>
          </cell>
          <cell r="K138">
            <v>59362.77</v>
          </cell>
          <cell r="L138">
            <v>59624</v>
          </cell>
          <cell r="M138">
            <v>0</v>
          </cell>
          <cell r="N138">
            <v>59624</v>
          </cell>
          <cell r="O138">
            <v>1</v>
          </cell>
          <cell r="P138" t="str">
            <v>LIBERIA</v>
          </cell>
        </row>
        <row r="139">
          <cell r="A139">
            <v>134</v>
          </cell>
          <cell r="B139" t="str">
            <v>HISPANIA</v>
          </cell>
          <cell r="C139">
            <v>168.87</v>
          </cell>
          <cell r="D139">
            <v>27.62</v>
          </cell>
          <cell r="E139">
            <v>9.9</v>
          </cell>
          <cell r="F139">
            <v>9.5612819349708555</v>
          </cell>
          <cell r="G139">
            <v>13.5</v>
          </cell>
          <cell r="H139">
            <v>20976</v>
          </cell>
          <cell r="I139">
            <v>16211</v>
          </cell>
          <cell r="J139">
            <v>8328</v>
          </cell>
          <cell r="K139">
            <v>46175.475060000004</v>
          </cell>
          <cell r="L139">
            <v>45816</v>
          </cell>
          <cell r="M139">
            <v>62966.556900000003</v>
          </cell>
          <cell r="O139">
            <v>1</v>
          </cell>
          <cell r="P139" t="str">
            <v>ROMANIA</v>
          </cell>
        </row>
        <row r="140">
          <cell r="A140">
            <v>135</v>
          </cell>
          <cell r="B140" t="str">
            <v>ALIDA</v>
          </cell>
          <cell r="C140">
            <v>134.44</v>
          </cell>
          <cell r="D140">
            <v>22.74</v>
          </cell>
          <cell r="E140">
            <v>8.7100000000000009</v>
          </cell>
          <cell r="F140">
            <v>7.7408297849778354</v>
          </cell>
          <cell r="H140">
            <v>11150</v>
          </cell>
          <cell r="I140">
            <v>9981</v>
          </cell>
          <cell r="J140">
            <v>6006</v>
          </cell>
          <cell r="K140">
            <v>26627.912376</v>
          </cell>
          <cell r="L140">
            <v>26309</v>
          </cell>
          <cell r="M140">
            <v>0</v>
          </cell>
          <cell r="N140">
            <v>26543</v>
          </cell>
          <cell r="O140">
            <v>1</v>
          </cell>
          <cell r="P140" t="str">
            <v>LIBERIA</v>
          </cell>
        </row>
        <row r="141">
          <cell r="A141">
            <v>136</v>
          </cell>
          <cell r="B141" t="str">
            <v>MISTRAL</v>
          </cell>
          <cell r="C141">
            <v>134.44</v>
          </cell>
          <cell r="D141">
            <v>22.74</v>
          </cell>
          <cell r="E141">
            <v>8.7100000000000009</v>
          </cell>
          <cell r="F141">
            <v>7.7408297849778354</v>
          </cell>
          <cell r="H141">
            <v>11254</v>
          </cell>
          <cell r="I141">
            <v>9981</v>
          </cell>
          <cell r="J141">
            <v>6006</v>
          </cell>
          <cell r="K141">
            <v>26627.912376</v>
          </cell>
          <cell r="L141">
            <v>26309</v>
          </cell>
          <cell r="M141">
            <v>0</v>
          </cell>
          <cell r="N141">
            <v>26543</v>
          </cell>
          <cell r="O141">
            <v>1</v>
          </cell>
          <cell r="P141" t="str">
            <v>ANTIGUA &amp; BARBUDA</v>
          </cell>
        </row>
        <row r="142">
          <cell r="A142">
            <v>137</v>
          </cell>
          <cell r="B142" t="str">
            <v>MSC JOY</v>
          </cell>
          <cell r="C142">
            <v>202.5</v>
          </cell>
          <cell r="D142">
            <v>31.01</v>
          </cell>
          <cell r="E142">
            <v>10.55</v>
          </cell>
          <cell r="F142">
            <v>11.094083558365694</v>
          </cell>
          <cell r="H142">
            <v>31180</v>
          </cell>
          <cell r="I142">
            <v>30567</v>
          </cell>
          <cell r="J142">
            <v>12852</v>
          </cell>
          <cell r="K142">
            <v>69665.575056846341</v>
          </cell>
          <cell r="L142">
            <v>69646</v>
          </cell>
          <cell r="M142">
            <v>0</v>
          </cell>
          <cell r="N142">
            <v>69646</v>
          </cell>
          <cell r="O142">
            <v>2</v>
          </cell>
          <cell r="P142" t="str">
            <v>PANAMA</v>
          </cell>
        </row>
        <row r="143">
          <cell r="A143">
            <v>138</v>
          </cell>
          <cell r="B143" t="str">
            <v>BERIT</v>
          </cell>
          <cell r="C143">
            <v>134.55000000000001</v>
          </cell>
          <cell r="D143">
            <v>22.5</v>
          </cell>
          <cell r="E143">
            <v>8.6999999999999993</v>
          </cell>
          <cell r="F143">
            <v>7.7030221342016159</v>
          </cell>
          <cell r="H143">
            <v>11200</v>
          </cell>
          <cell r="I143">
            <v>9981</v>
          </cell>
          <cell r="J143">
            <v>6006</v>
          </cell>
          <cell r="K143">
            <v>26338.162500000002</v>
          </cell>
          <cell r="L143">
            <v>26659</v>
          </cell>
          <cell r="M143">
            <v>0</v>
          </cell>
          <cell r="N143">
            <v>26309</v>
          </cell>
          <cell r="O143">
            <v>2</v>
          </cell>
          <cell r="P143" t="str">
            <v>CYPRUS</v>
          </cell>
        </row>
        <row r="144">
          <cell r="A144">
            <v>139</v>
          </cell>
          <cell r="B144" t="str">
            <v>CALA PINGUINO</v>
          </cell>
          <cell r="C144">
            <v>171.99</v>
          </cell>
          <cell r="D144">
            <v>27.6</v>
          </cell>
          <cell r="E144">
            <v>8.5</v>
          </cell>
          <cell r="F144">
            <v>9.6457094295857786</v>
          </cell>
          <cell r="G144">
            <v>14</v>
          </cell>
          <cell r="H144">
            <v>21430</v>
          </cell>
          <cell r="I144">
            <v>17518</v>
          </cell>
          <cell r="J144">
            <v>8004</v>
          </cell>
          <cell r="K144">
            <v>45787.44958832705</v>
          </cell>
          <cell r="L144">
            <v>45573</v>
          </cell>
          <cell r="M144">
            <v>66456.936000000016</v>
          </cell>
          <cell r="N144">
            <v>45573</v>
          </cell>
          <cell r="O144">
            <v>1</v>
          </cell>
          <cell r="P144" t="str">
            <v>PANAMA</v>
          </cell>
        </row>
        <row r="145">
          <cell r="A145">
            <v>140</v>
          </cell>
          <cell r="B145" t="str">
            <v>GALANI</v>
          </cell>
          <cell r="C145">
            <v>176.91</v>
          </cell>
          <cell r="D145">
            <v>27.4</v>
          </cell>
          <cell r="E145">
            <v>10.9</v>
          </cell>
          <cell r="F145">
            <v>9.7471917186438883</v>
          </cell>
          <cell r="H145">
            <v>19190</v>
          </cell>
          <cell r="I145">
            <v>18327</v>
          </cell>
          <cell r="J145">
            <v>10908</v>
          </cell>
          <cell r="K145">
            <v>52835.940600000002</v>
          </cell>
          <cell r="L145">
            <v>52833</v>
          </cell>
          <cell r="M145">
            <v>0</v>
          </cell>
          <cell r="N145">
            <v>52833</v>
          </cell>
          <cell r="O145">
            <v>1</v>
          </cell>
          <cell r="P145" t="str">
            <v>MALTESE</v>
          </cell>
        </row>
        <row r="146">
          <cell r="A146">
            <v>141</v>
          </cell>
          <cell r="B146" t="str">
            <v>PATRICIA RICKMERS</v>
          </cell>
          <cell r="C146">
            <v>195.57</v>
          </cell>
          <cell r="D146">
            <v>30.2</v>
          </cell>
          <cell r="E146">
            <v>11</v>
          </cell>
          <cell r="F146">
            <v>10.759265513965163</v>
          </cell>
          <cell r="G146">
            <v>16.600000000000001</v>
          </cell>
          <cell r="H146">
            <v>30721</v>
          </cell>
          <cell r="I146">
            <v>26131</v>
          </cell>
          <cell r="J146">
            <v>10106</v>
          </cell>
          <cell r="K146">
            <v>64968.353999999999</v>
          </cell>
          <cell r="L146">
            <v>64978</v>
          </cell>
          <cell r="M146">
            <v>98043.152400000006</v>
          </cell>
          <cell r="N146">
            <v>64978</v>
          </cell>
          <cell r="O146">
            <v>1</v>
          </cell>
          <cell r="P146" t="str">
            <v>GERMAN</v>
          </cell>
        </row>
        <row r="147">
          <cell r="A147">
            <v>142</v>
          </cell>
          <cell r="B147" t="str">
            <v>MSC UMA</v>
          </cell>
          <cell r="C147">
            <v>194</v>
          </cell>
          <cell r="D147">
            <v>28.2</v>
          </cell>
          <cell r="E147">
            <v>11.516999999999999</v>
          </cell>
          <cell r="F147">
            <v>10.355079912777111</v>
          </cell>
          <cell r="G147">
            <v>16.8</v>
          </cell>
          <cell r="H147">
            <v>29233</v>
          </cell>
          <cell r="I147">
            <v>23722</v>
          </cell>
          <cell r="J147">
            <v>9843</v>
          </cell>
          <cell r="K147">
            <v>63007.203600000001</v>
          </cell>
          <cell r="L147">
            <v>62946</v>
          </cell>
          <cell r="M147">
            <v>91909.440000000002</v>
          </cell>
          <cell r="N147">
            <v>62914</v>
          </cell>
          <cell r="O147">
            <v>1</v>
          </cell>
          <cell r="P147" t="str">
            <v>MALTESE</v>
          </cell>
        </row>
        <row r="148">
          <cell r="A148">
            <v>143</v>
          </cell>
          <cell r="B148" t="str">
            <v>THIRA</v>
          </cell>
          <cell r="C148">
            <v>205.5</v>
          </cell>
          <cell r="D148">
            <v>27.4</v>
          </cell>
          <cell r="E148">
            <v>10.1</v>
          </cell>
          <cell r="F148">
            <v>10.505318652949086</v>
          </cell>
          <cell r="G148">
            <v>15.8</v>
          </cell>
          <cell r="H148">
            <v>28360</v>
          </cell>
          <cell r="I148">
            <v>24053</v>
          </cell>
          <cell r="J148">
            <v>12958</v>
          </cell>
          <cell r="K148">
            <v>59152.297739160414</v>
          </cell>
          <cell r="L148">
            <v>59180</v>
          </cell>
          <cell r="M148">
            <v>88965.06</v>
          </cell>
          <cell r="N148">
            <v>59180</v>
          </cell>
          <cell r="O148">
            <v>1</v>
          </cell>
          <cell r="P148" t="str">
            <v>MALTESE</v>
          </cell>
        </row>
        <row r="149">
          <cell r="A149">
            <v>144</v>
          </cell>
          <cell r="B149" t="str">
            <v>MSC TIA</v>
          </cell>
          <cell r="C149">
            <v>194</v>
          </cell>
          <cell r="D149">
            <v>28.2</v>
          </cell>
          <cell r="E149">
            <v>11.5</v>
          </cell>
          <cell r="F149">
            <v>10.355079912777111</v>
          </cell>
          <cell r="G149">
            <v>16.8</v>
          </cell>
          <cell r="H149">
            <v>29266</v>
          </cell>
          <cell r="I149">
            <v>23722</v>
          </cell>
          <cell r="J149">
            <v>9843</v>
          </cell>
          <cell r="K149">
            <v>62914.200000000004</v>
          </cell>
          <cell r="L149">
            <v>62914</v>
          </cell>
          <cell r="M149">
            <v>91909.440000000002</v>
          </cell>
          <cell r="N149">
            <v>62914</v>
          </cell>
          <cell r="O149">
            <v>1</v>
          </cell>
          <cell r="P149" t="str">
            <v>MALTESE</v>
          </cell>
        </row>
        <row r="150">
          <cell r="A150">
            <v>145</v>
          </cell>
          <cell r="B150" t="str">
            <v>JOHN RICKMERS</v>
          </cell>
          <cell r="C150">
            <v>196.8</v>
          </cell>
          <cell r="D150">
            <v>27.8</v>
          </cell>
          <cell r="E150">
            <v>11</v>
          </cell>
          <cell r="F150">
            <v>10.355307045182197</v>
          </cell>
          <cell r="G150">
            <v>16.600000000000001</v>
          </cell>
          <cell r="H150">
            <v>24279</v>
          </cell>
          <cell r="I150">
            <v>21971</v>
          </cell>
          <cell r="J150">
            <v>8588</v>
          </cell>
          <cell r="K150">
            <v>60181.44000000001</v>
          </cell>
          <cell r="L150">
            <v>60181</v>
          </cell>
          <cell r="M150">
            <v>90819.264000000025</v>
          </cell>
          <cell r="N150">
            <v>60212</v>
          </cell>
          <cell r="O150">
            <v>1</v>
          </cell>
          <cell r="P150" t="str">
            <v>MARSHALL ISLAND</v>
          </cell>
        </row>
        <row r="151">
          <cell r="A151">
            <v>146</v>
          </cell>
          <cell r="B151" t="str">
            <v>SANTA GIOVANNA</v>
          </cell>
          <cell r="C151">
            <v>182.02</v>
          </cell>
          <cell r="D151">
            <v>29.8</v>
          </cell>
          <cell r="E151">
            <v>11.57</v>
          </cell>
          <cell r="F151">
            <v>10.310879768477568</v>
          </cell>
          <cell r="H151">
            <v>30200</v>
          </cell>
          <cell r="I151">
            <v>21531</v>
          </cell>
          <cell r="J151">
            <v>11839</v>
          </cell>
          <cell r="K151">
            <v>62757.947720000011</v>
          </cell>
          <cell r="L151">
            <v>62914</v>
          </cell>
          <cell r="M151">
            <v>0</v>
          </cell>
          <cell r="N151">
            <v>63336</v>
          </cell>
          <cell r="O151">
            <v>1</v>
          </cell>
          <cell r="P151" t="str">
            <v>GERMAN</v>
          </cell>
        </row>
        <row r="152">
          <cell r="A152">
            <v>147</v>
          </cell>
          <cell r="B152" t="str">
            <v>MSC ANAHITA</v>
          </cell>
          <cell r="C152">
            <v>195.71</v>
          </cell>
          <cell r="D152">
            <v>32.4</v>
          </cell>
          <cell r="E152">
            <v>11.5</v>
          </cell>
          <cell r="F152">
            <v>11.148258985151001</v>
          </cell>
          <cell r="G152">
            <v>11.2</v>
          </cell>
          <cell r="H152">
            <v>12920</v>
          </cell>
          <cell r="I152">
            <v>9528</v>
          </cell>
          <cell r="J152">
            <v>4703</v>
          </cell>
          <cell r="K152">
            <v>72921.546000000002</v>
          </cell>
          <cell r="L152">
            <v>72693</v>
          </cell>
          <cell r="M152">
            <v>71019.2448</v>
          </cell>
          <cell r="N152">
            <v>27680</v>
          </cell>
          <cell r="O152">
            <v>1</v>
          </cell>
          <cell r="P152" t="str">
            <v>ANTIGUA &amp; BARBUDA</v>
          </cell>
        </row>
        <row r="153">
          <cell r="A153">
            <v>148</v>
          </cell>
          <cell r="B153" t="str">
            <v>MSC EDITH</v>
          </cell>
          <cell r="C153">
            <v>216</v>
          </cell>
          <cell r="D153">
            <v>26.66</v>
          </cell>
          <cell r="E153">
            <v>11.4</v>
          </cell>
          <cell r="F153">
            <v>10.623924698528318</v>
          </cell>
          <cell r="K153">
            <v>65647.584000000003</v>
          </cell>
          <cell r="L153">
            <v>65746</v>
          </cell>
        </row>
        <row r="154">
          <cell r="A154">
            <v>149</v>
          </cell>
          <cell r="B154" t="str">
            <v>MSC SHIRLEY</v>
          </cell>
          <cell r="C154">
            <v>188.1</v>
          </cell>
          <cell r="D154">
            <v>30</v>
          </cell>
          <cell r="E154">
            <v>11.5</v>
          </cell>
          <cell r="F154">
            <v>10.516786581461089</v>
          </cell>
          <cell r="G154">
            <v>16.75</v>
          </cell>
          <cell r="H154">
            <v>29921</v>
          </cell>
          <cell r="I154">
            <v>23652</v>
          </cell>
          <cell r="J154">
            <v>10596</v>
          </cell>
          <cell r="K154">
            <v>64894.5</v>
          </cell>
          <cell r="L154">
            <v>64895</v>
          </cell>
          <cell r="M154">
            <v>94520</v>
          </cell>
          <cell r="N154">
            <v>64996</v>
          </cell>
          <cell r="O154">
            <v>2</v>
          </cell>
          <cell r="P154" t="str">
            <v>LIBERIA</v>
          </cell>
        </row>
        <row r="155">
          <cell r="A155">
            <v>150</v>
          </cell>
          <cell r="B155" t="str">
            <v>LIBERTAS-H</v>
          </cell>
          <cell r="C155">
            <v>126.85</v>
          </cell>
          <cell r="D155">
            <v>20.399999999999999</v>
          </cell>
          <cell r="E155">
            <v>7.75</v>
          </cell>
          <cell r="F155">
            <v>7.1217767446052394</v>
          </cell>
          <cell r="H155">
            <v>8540</v>
          </cell>
          <cell r="K155">
            <v>20054.984999999997</v>
          </cell>
          <cell r="L155">
            <v>20190</v>
          </cell>
        </row>
        <row r="156">
          <cell r="A156">
            <v>151</v>
          </cell>
          <cell r="B156" t="str">
            <v>MSC MASHA 3</v>
          </cell>
          <cell r="C156">
            <v>183.6</v>
          </cell>
          <cell r="D156">
            <v>29.8</v>
          </cell>
          <cell r="E156">
            <v>11.54</v>
          </cell>
          <cell r="F156">
            <v>10.355534172605488</v>
          </cell>
          <cell r="K156">
            <v>63138.571199999991</v>
          </cell>
        </row>
        <row r="159">
          <cell r="A159">
            <v>143</v>
          </cell>
          <cell r="B159" t="str">
            <v>THIRA</v>
          </cell>
          <cell r="C159">
            <v>205.5</v>
          </cell>
          <cell r="D159">
            <v>27.4</v>
          </cell>
          <cell r="E159">
            <v>10.1</v>
          </cell>
          <cell r="F159">
            <v>10.505318652949086</v>
          </cell>
          <cell r="G159">
            <v>15.8</v>
          </cell>
          <cell r="H159">
            <v>28360</v>
          </cell>
          <cell r="I159">
            <v>24053</v>
          </cell>
          <cell r="J159">
            <v>12958</v>
          </cell>
          <cell r="K159">
            <v>59152.297739160414</v>
          </cell>
          <cell r="L159">
            <v>59180</v>
          </cell>
          <cell r="M159">
            <v>88965.06</v>
          </cell>
          <cell r="N159">
            <v>59180</v>
          </cell>
          <cell r="O159">
            <v>1</v>
          </cell>
          <cell r="P159" t="str">
            <v>MALTESE</v>
          </cell>
        </row>
      </sheetData>
      <sheetData sheetId="1" refreshError="1">
        <row r="52">
          <cell r="N52">
            <v>11</v>
          </cell>
          <cell r="O52">
            <v>0</v>
          </cell>
        </row>
        <row r="53">
          <cell r="N53">
            <v>12</v>
          </cell>
          <cell r="O53">
            <v>0.1</v>
          </cell>
        </row>
        <row r="54">
          <cell r="N54">
            <v>13</v>
          </cell>
          <cell r="O54">
            <v>0.1</v>
          </cell>
        </row>
        <row r="55">
          <cell r="N55">
            <v>14</v>
          </cell>
          <cell r="O55">
            <v>0.1</v>
          </cell>
        </row>
        <row r="56">
          <cell r="N56">
            <v>15</v>
          </cell>
          <cell r="O56">
            <v>0.1</v>
          </cell>
        </row>
        <row r="57">
          <cell r="N57">
            <v>16</v>
          </cell>
          <cell r="O57">
            <v>0.1</v>
          </cell>
        </row>
        <row r="58">
          <cell r="N58">
            <v>17</v>
          </cell>
          <cell r="O58">
            <v>0.1</v>
          </cell>
        </row>
        <row r="59">
          <cell r="N59">
            <v>18</v>
          </cell>
          <cell r="O59">
            <v>0.1</v>
          </cell>
        </row>
        <row r="60">
          <cell r="N60">
            <v>19</v>
          </cell>
          <cell r="O60">
            <v>0.1</v>
          </cell>
        </row>
        <row r="61">
          <cell r="N61">
            <v>20</v>
          </cell>
          <cell r="O61">
            <v>0.1</v>
          </cell>
        </row>
        <row r="62">
          <cell r="N62">
            <v>21</v>
          </cell>
          <cell r="O62">
            <v>0.25</v>
          </cell>
        </row>
        <row r="63">
          <cell r="N63">
            <v>22</v>
          </cell>
          <cell r="O63">
            <v>0.25</v>
          </cell>
        </row>
        <row r="64">
          <cell r="N64">
            <v>23</v>
          </cell>
          <cell r="O64">
            <v>0.25</v>
          </cell>
        </row>
        <row r="65">
          <cell r="N65">
            <v>24</v>
          </cell>
          <cell r="O65">
            <v>0.25</v>
          </cell>
        </row>
        <row r="66">
          <cell r="N66">
            <v>25</v>
          </cell>
          <cell r="O66">
            <v>0.25</v>
          </cell>
        </row>
        <row r="67">
          <cell r="N67">
            <v>26</v>
          </cell>
          <cell r="O67">
            <v>0.25</v>
          </cell>
        </row>
        <row r="68">
          <cell r="N68">
            <v>27</v>
          </cell>
          <cell r="O68">
            <v>0.25</v>
          </cell>
        </row>
        <row r="69">
          <cell r="N69">
            <v>28</v>
          </cell>
          <cell r="O69">
            <v>0.25</v>
          </cell>
        </row>
        <row r="70">
          <cell r="N70">
            <v>29</v>
          </cell>
          <cell r="O70">
            <v>0.25</v>
          </cell>
        </row>
        <row r="71">
          <cell r="N71">
            <v>30</v>
          </cell>
          <cell r="O71">
            <v>0.25</v>
          </cell>
        </row>
        <row r="72">
          <cell r="N72">
            <v>31</v>
          </cell>
          <cell r="O72">
            <v>0.25</v>
          </cell>
        </row>
        <row r="73">
          <cell r="N73">
            <v>32</v>
          </cell>
          <cell r="O73">
            <v>0.25</v>
          </cell>
        </row>
        <row r="74">
          <cell r="N74">
            <v>33</v>
          </cell>
          <cell r="O74">
            <v>0.25</v>
          </cell>
        </row>
        <row r="75">
          <cell r="N75">
            <v>34</v>
          </cell>
          <cell r="O75">
            <v>0.25</v>
          </cell>
        </row>
        <row r="76">
          <cell r="N76">
            <v>35</v>
          </cell>
          <cell r="O76">
            <v>0.25</v>
          </cell>
        </row>
        <row r="77">
          <cell r="N77">
            <v>36</v>
          </cell>
          <cell r="O77">
            <v>0.35</v>
          </cell>
        </row>
        <row r="78">
          <cell r="N78">
            <v>37</v>
          </cell>
          <cell r="O78">
            <v>0.35</v>
          </cell>
        </row>
        <row r="79">
          <cell r="N79">
            <v>38</v>
          </cell>
          <cell r="O79">
            <v>0.35</v>
          </cell>
        </row>
        <row r="80">
          <cell r="N80">
            <v>39</v>
          </cell>
          <cell r="O80">
            <v>0.35</v>
          </cell>
        </row>
        <row r="81">
          <cell r="N81">
            <v>40</v>
          </cell>
          <cell r="O81">
            <v>0.35</v>
          </cell>
        </row>
        <row r="82">
          <cell r="N82">
            <v>41</v>
          </cell>
          <cell r="O82">
            <v>0.35</v>
          </cell>
        </row>
        <row r="83">
          <cell r="N83">
            <v>42</v>
          </cell>
          <cell r="O83">
            <v>0.35</v>
          </cell>
        </row>
        <row r="84">
          <cell r="N84">
            <v>43</v>
          </cell>
          <cell r="O84">
            <v>0.35</v>
          </cell>
        </row>
        <row r="85">
          <cell r="N85">
            <v>44</v>
          </cell>
          <cell r="O85">
            <v>0.35</v>
          </cell>
        </row>
        <row r="86">
          <cell r="N86">
            <v>45</v>
          </cell>
          <cell r="O86">
            <v>0.35</v>
          </cell>
        </row>
        <row r="87">
          <cell r="N87">
            <v>46</v>
          </cell>
          <cell r="O87">
            <v>0.35</v>
          </cell>
        </row>
        <row r="88">
          <cell r="N88">
            <v>47</v>
          </cell>
          <cell r="O88">
            <v>0.35</v>
          </cell>
        </row>
        <row r="89">
          <cell r="N89">
            <v>48</v>
          </cell>
          <cell r="O89">
            <v>0.35</v>
          </cell>
        </row>
        <row r="90">
          <cell r="N90">
            <v>49</v>
          </cell>
          <cell r="O90">
            <v>0.35</v>
          </cell>
        </row>
        <row r="91">
          <cell r="N91">
            <v>50</v>
          </cell>
          <cell r="O91">
            <v>0.35</v>
          </cell>
        </row>
        <row r="92">
          <cell r="N92">
            <v>51</v>
          </cell>
          <cell r="O92">
            <v>0.4</v>
          </cell>
        </row>
        <row r="93">
          <cell r="N93">
            <v>52</v>
          </cell>
          <cell r="O93">
            <v>0.4</v>
          </cell>
        </row>
        <row r="94">
          <cell r="N94">
            <v>53</v>
          </cell>
          <cell r="O94">
            <v>0.4</v>
          </cell>
        </row>
        <row r="95">
          <cell r="N95">
            <v>54</v>
          </cell>
          <cell r="O95">
            <v>0.4</v>
          </cell>
        </row>
        <row r="96">
          <cell r="N96">
            <v>55</v>
          </cell>
          <cell r="O96">
            <v>0.4</v>
          </cell>
        </row>
        <row r="97">
          <cell r="N97">
            <v>56</v>
          </cell>
          <cell r="O97">
            <v>0.4</v>
          </cell>
        </row>
        <row r="98">
          <cell r="N98">
            <v>57</v>
          </cell>
          <cell r="O98">
            <v>0.4</v>
          </cell>
        </row>
        <row r="99">
          <cell r="N99">
            <v>58</v>
          </cell>
          <cell r="O99">
            <v>0.4</v>
          </cell>
        </row>
        <row r="100">
          <cell r="N100">
            <v>59</v>
          </cell>
          <cell r="O100">
            <v>0.4</v>
          </cell>
        </row>
        <row r="101">
          <cell r="N101">
            <v>60</v>
          </cell>
          <cell r="O101">
            <v>0.4</v>
          </cell>
        </row>
        <row r="102">
          <cell r="N102">
            <v>61</v>
          </cell>
          <cell r="O102">
            <v>0.4</v>
          </cell>
        </row>
        <row r="103">
          <cell r="N103">
            <v>62</v>
          </cell>
          <cell r="O103">
            <v>0.4</v>
          </cell>
        </row>
        <row r="104">
          <cell r="N104">
            <v>63</v>
          </cell>
          <cell r="O104">
            <v>0.4</v>
          </cell>
        </row>
        <row r="105">
          <cell r="N105">
            <v>64</v>
          </cell>
          <cell r="O105">
            <v>0.4</v>
          </cell>
        </row>
        <row r="106">
          <cell r="N106">
            <v>65</v>
          </cell>
          <cell r="O106">
            <v>0.4</v>
          </cell>
        </row>
        <row r="107">
          <cell r="N107">
            <v>66</v>
          </cell>
          <cell r="O107">
            <v>0.4</v>
          </cell>
        </row>
        <row r="108">
          <cell r="N108">
            <v>67</v>
          </cell>
          <cell r="O108">
            <v>0.4</v>
          </cell>
        </row>
        <row r="109">
          <cell r="N109">
            <v>68</v>
          </cell>
          <cell r="O109">
            <v>0.4</v>
          </cell>
        </row>
        <row r="110">
          <cell r="N110">
            <v>69</v>
          </cell>
          <cell r="O110">
            <v>0.4</v>
          </cell>
        </row>
        <row r="111">
          <cell r="N111">
            <v>70</v>
          </cell>
          <cell r="O111">
            <v>0.4</v>
          </cell>
        </row>
        <row r="112">
          <cell r="N112">
            <v>71</v>
          </cell>
          <cell r="O112">
            <v>0.4</v>
          </cell>
        </row>
        <row r="113">
          <cell r="N113">
            <v>72</v>
          </cell>
          <cell r="O113">
            <v>0.4</v>
          </cell>
        </row>
        <row r="114">
          <cell r="N114">
            <v>73</v>
          </cell>
          <cell r="O114">
            <v>0.4</v>
          </cell>
        </row>
        <row r="115">
          <cell r="N115">
            <v>74</v>
          </cell>
          <cell r="O115">
            <v>0.4</v>
          </cell>
        </row>
        <row r="116">
          <cell r="N116">
            <v>75</v>
          </cell>
          <cell r="O116">
            <v>0.4</v>
          </cell>
        </row>
        <row r="117">
          <cell r="N117">
            <v>76</v>
          </cell>
          <cell r="O117">
            <v>0.4</v>
          </cell>
        </row>
        <row r="118">
          <cell r="N118">
            <v>77</v>
          </cell>
          <cell r="O118">
            <v>0.4</v>
          </cell>
        </row>
        <row r="119">
          <cell r="N119">
            <v>78</v>
          </cell>
          <cell r="O119">
            <v>0.4</v>
          </cell>
        </row>
        <row r="120">
          <cell r="N120">
            <v>79</v>
          </cell>
          <cell r="O120">
            <v>0.4</v>
          </cell>
        </row>
        <row r="121">
          <cell r="N121">
            <v>80</v>
          </cell>
          <cell r="O121">
            <v>0.4</v>
          </cell>
        </row>
        <row r="122">
          <cell r="N122">
            <v>81</v>
          </cell>
          <cell r="O122">
            <v>0.4</v>
          </cell>
        </row>
        <row r="123">
          <cell r="N123">
            <v>82</v>
          </cell>
          <cell r="O123">
            <v>0.4</v>
          </cell>
        </row>
        <row r="124">
          <cell r="N124">
            <v>83</v>
          </cell>
          <cell r="O124">
            <v>0.4</v>
          </cell>
        </row>
        <row r="125">
          <cell r="N125">
            <v>84</v>
          </cell>
          <cell r="O125">
            <v>0.4</v>
          </cell>
        </row>
        <row r="126">
          <cell r="N126">
            <v>85</v>
          </cell>
          <cell r="O126">
            <v>0.4</v>
          </cell>
        </row>
        <row r="127">
          <cell r="N127">
            <v>86</v>
          </cell>
          <cell r="O127">
            <v>0.4</v>
          </cell>
        </row>
        <row r="128">
          <cell r="N128">
            <v>87</v>
          </cell>
          <cell r="O128">
            <v>0.4</v>
          </cell>
        </row>
        <row r="129">
          <cell r="N129">
            <v>88</v>
          </cell>
          <cell r="O129">
            <v>0.4</v>
          </cell>
        </row>
        <row r="130">
          <cell r="N130">
            <v>89</v>
          </cell>
          <cell r="O130">
            <v>0.4</v>
          </cell>
        </row>
        <row r="131">
          <cell r="N131">
            <v>90</v>
          </cell>
          <cell r="O131">
            <v>0.4</v>
          </cell>
        </row>
        <row r="132">
          <cell r="N132">
            <v>91</v>
          </cell>
          <cell r="O132">
            <v>0.4</v>
          </cell>
        </row>
        <row r="133">
          <cell r="N133">
            <v>92</v>
          </cell>
          <cell r="O133">
            <v>0.4</v>
          </cell>
        </row>
        <row r="134">
          <cell r="N134">
            <v>93</v>
          </cell>
          <cell r="O134">
            <v>0.4</v>
          </cell>
        </row>
        <row r="135">
          <cell r="N135">
            <v>94</v>
          </cell>
          <cell r="O135">
            <v>0.4</v>
          </cell>
        </row>
        <row r="136">
          <cell r="N136">
            <v>95</v>
          </cell>
          <cell r="O136">
            <v>0.4</v>
          </cell>
        </row>
        <row r="137">
          <cell r="N137">
            <v>96</v>
          </cell>
          <cell r="O137">
            <v>0.4</v>
          </cell>
        </row>
        <row r="138">
          <cell r="N138">
            <v>97</v>
          </cell>
          <cell r="O138">
            <v>0.4</v>
          </cell>
        </row>
        <row r="139">
          <cell r="N139">
            <v>98</v>
          </cell>
          <cell r="O139">
            <v>0.4</v>
          </cell>
        </row>
        <row r="140">
          <cell r="N140">
            <v>99</v>
          </cell>
          <cell r="O140">
            <v>0.4</v>
          </cell>
        </row>
        <row r="141">
          <cell r="N141">
            <v>100</v>
          </cell>
          <cell r="O141">
            <v>0.4</v>
          </cell>
        </row>
      </sheetData>
      <sheetData sheetId="2" refreshError="1"/>
      <sheetData sheetId="3" refreshError="1"/>
      <sheetData sheetId="4" refreshError="1"/>
      <sheetData sheetId="5" refreshError="1"/>
      <sheetData sheetId="6" refreshError="1">
        <row r="1">
          <cell r="R1"/>
          <cell r="S1"/>
          <cell r="T1"/>
          <cell r="U1"/>
        </row>
        <row r="2">
          <cell r="R2"/>
          <cell r="S2"/>
          <cell r="T2"/>
          <cell r="U2"/>
        </row>
        <row r="3">
          <cell r="R3"/>
          <cell r="S3"/>
        </row>
        <row r="4">
          <cell r="R4"/>
          <cell r="S4"/>
        </row>
        <row r="5">
          <cell r="R5"/>
          <cell r="S5" t="e">
            <v>#REF!</v>
          </cell>
        </row>
        <row r="6">
          <cell r="R6"/>
          <cell r="S6" t="e">
            <v>#REF!</v>
          </cell>
        </row>
        <row r="7">
          <cell r="R7"/>
          <cell r="S7" t="e">
            <v>#REF!</v>
          </cell>
        </row>
        <row r="8">
          <cell r="R8"/>
          <cell r="S8" t="e">
            <v>#REF!</v>
          </cell>
        </row>
        <row r="9">
          <cell r="R9"/>
          <cell r="S9"/>
        </row>
        <row r="10">
          <cell r="R10"/>
          <cell r="S10"/>
        </row>
        <row r="13">
          <cell r="R13"/>
          <cell r="S13" t="str">
            <v>Maj. Nuit remorq.</v>
          </cell>
        </row>
        <row r="14">
          <cell r="R14">
            <v>186.07</v>
          </cell>
          <cell r="S14">
            <v>0.1</v>
          </cell>
        </row>
        <row r="15">
          <cell r="R15">
            <v>186.07</v>
          </cell>
          <cell r="S15">
            <v>0.1</v>
          </cell>
        </row>
        <row r="16">
          <cell r="R16">
            <v>186.07</v>
          </cell>
          <cell r="S16">
            <v>0.1</v>
          </cell>
        </row>
        <row r="17">
          <cell r="R17">
            <v>186.07</v>
          </cell>
          <cell r="S17">
            <v>0.1</v>
          </cell>
        </row>
        <row r="18">
          <cell r="R18">
            <v>186.07</v>
          </cell>
          <cell r="S18">
            <v>0.1</v>
          </cell>
        </row>
        <row r="19">
          <cell r="R19">
            <v>186.07</v>
          </cell>
          <cell r="S19">
            <v>0.1</v>
          </cell>
        </row>
        <row r="20">
          <cell r="R20">
            <v>186.07</v>
          </cell>
          <cell r="S20">
            <v>0.1</v>
          </cell>
        </row>
        <row r="21">
          <cell r="R21">
            <v>0</v>
          </cell>
          <cell r="S21">
            <v>0</v>
          </cell>
        </row>
        <row r="22">
          <cell r="R22">
            <v>0</v>
          </cell>
          <cell r="S22">
            <v>0</v>
          </cell>
        </row>
        <row r="23">
          <cell r="R23">
            <v>0</v>
          </cell>
          <cell r="S23">
            <v>0</v>
          </cell>
        </row>
        <row r="24">
          <cell r="R24">
            <v>0</v>
          </cell>
          <cell r="S24">
            <v>0</v>
          </cell>
        </row>
        <row r="25">
          <cell r="R25">
            <v>0</v>
          </cell>
          <cell r="S25">
            <v>0</v>
          </cell>
        </row>
        <row r="26">
          <cell r="R26">
            <v>0</v>
          </cell>
          <cell r="S26">
            <v>0</v>
          </cell>
        </row>
        <row r="27">
          <cell r="R27">
            <v>0</v>
          </cell>
          <cell r="S27">
            <v>0</v>
          </cell>
        </row>
        <row r="28">
          <cell r="R28">
            <v>0</v>
          </cell>
          <cell r="S28">
            <v>0</v>
          </cell>
        </row>
        <row r="29">
          <cell r="R29">
            <v>0</v>
          </cell>
          <cell r="S29">
            <v>0</v>
          </cell>
        </row>
        <row r="30">
          <cell r="R30">
            <v>0</v>
          </cell>
          <cell r="S30">
            <v>0</v>
          </cell>
        </row>
        <row r="31">
          <cell r="R31">
            <v>0</v>
          </cell>
          <cell r="S31">
            <v>0</v>
          </cell>
        </row>
        <row r="32">
          <cell r="R32">
            <v>186.07</v>
          </cell>
          <cell r="S32">
            <v>0.1</v>
          </cell>
        </row>
        <row r="33">
          <cell r="R33">
            <v>186.07</v>
          </cell>
          <cell r="S33">
            <v>0.1</v>
          </cell>
        </row>
        <row r="34">
          <cell r="R34">
            <v>186.07</v>
          </cell>
          <cell r="S34">
            <v>0.1</v>
          </cell>
        </row>
        <row r="35">
          <cell r="R35">
            <v>186.07</v>
          </cell>
          <cell r="S35">
            <v>0.1</v>
          </cell>
        </row>
        <row r="36">
          <cell r="R36">
            <v>186.07</v>
          </cell>
          <cell r="S36">
            <v>0.1</v>
          </cell>
        </row>
        <row r="37">
          <cell r="R37">
            <v>186.07</v>
          </cell>
          <cell r="S37">
            <v>0.1</v>
          </cell>
        </row>
        <row r="38">
          <cell r="R38">
            <v>186.07</v>
          </cell>
          <cell r="S38">
            <v>0.1</v>
          </cell>
        </row>
        <row r="45">
          <cell r="R45"/>
          <cell r="S45"/>
          <cell r="T45"/>
        </row>
        <row r="46">
          <cell r="R46"/>
          <cell r="S46"/>
          <cell r="T46"/>
        </row>
        <row r="47">
          <cell r="R47"/>
          <cell r="S47"/>
          <cell r="T47"/>
        </row>
        <row r="48">
          <cell r="R48"/>
          <cell r="S48"/>
          <cell r="T48"/>
        </row>
        <row r="49">
          <cell r="R49"/>
          <cell r="S49"/>
          <cell r="T49"/>
        </row>
        <row r="50">
          <cell r="R50"/>
          <cell r="S50" t="str">
            <v>(2)-(Runnig costs)</v>
          </cell>
          <cell r="T50"/>
        </row>
        <row r="51">
          <cell r="R51"/>
          <cell r="S51">
            <v>0</v>
          </cell>
          <cell r="T51"/>
        </row>
        <row r="52">
          <cell r="R52"/>
          <cell r="S52">
            <v>0</v>
          </cell>
          <cell r="T52"/>
        </row>
        <row r="53">
          <cell r="R53"/>
          <cell r="S53">
            <v>0</v>
          </cell>
          <cell r="T53"/>
        </row>
        <row r="54">
          <cell r="R54"/>
          <cell r="S54">
            <v>0</v>
          </cell>
          <cell r="T54"/>
        </row>
        <row r="55">
          <cell r="R55"/>
          <cell r="S55">
            <v>0</v>
          </cell>
          <cell r="T55"/>
        </row>
        <row r="56">
          <cell r="R56"/>
          <cell r="S56"/>
          <cell r="T56"/>
        </row>
        <row r="57">
          <cell r="R57" t="str">
            <v>(2)</v>
          </cell>
          <cell r="S57" t="str">
            <v>Sea (Due to bowthruster)</v>
          </cell>
          <cell r="T57"/>
        </row>
        <row r="58">
          <cell r="R58"/>
          <cell r="S58"/>
          <cell r="T58"/>
        </row>
        <row r="59">
          <cell r="R59"/>
          <cell r="S59"/>
          <cell r="T59"/>
          <cell r="U59"/>
        </row>
        <row r="60">
          <cell r="R60"/>
          <cell r="S60"/>
          <cell r="T60"/>
          <cell r="U60"/>
        </row>
        <row r="61">
          <cell r="R61" t="str">
            <v>Heure</v>
          </cell>
          <cell r="S61" t="str">
            <v>Minute</v>
          </cell>
          <cell r="T61"/>
          <cell r="U61"/>
        </row>
        <row r="62">
          <cell r="R62">
            <v>2</v>
          </cell>
          <cell r="S62">
            <v>30</v>
          </cell>
          <cell r="T62"/>
          <cell r="U62"/>
        </row>
        <row r="63">
          <cell r="R63">
            <v>2</v>
          </cell>
          <cell r="S63">
            <v>0</v>
          </cell>
          <cell r="T63"/>
          <cell r="U63"/>
        </row>
        <row r="64">
          <cell r="R64"/>
          <cell r="S64"/>
          <cell r="T64"/>
          <cell r="U64"/>
        </row>
        <row r="65">
          <cell r="R65"/>
          <cell r="S65"/>
          <cell r="T65"/>
          <cell r="U65"/>
        </row>
        <row r="66">
          <cell r="R66" t="str">
            <v>Nombre de tugs</v>
          </cell>
          <cell r="S66"/>
          <cell r="T66"/>
          <cell r="U66"/>
        </row>
        <row r="67">
          <cell r="R67" t="str">
            <v>entrée</v>
          </cell>
          <cell r="S67" t="str">
            <v>sortie</v>
          </cell>
          <cell r="T67"/>
          <cell r="U67"/>
        </row>
        <row r="68">
          <cell r="R68">
            <v>2</v>
          </cell>
          <cell r="S68">
            <v>1</v>
          </cell>
          <cell r="T68"/>
          <cell r="U68"/>
        </row>
        <row r="69">
          <cell r="R69"/>
          <cell r="S69"/>
          <cell r="T69"/>
          <cell r="U69"/>
        </row>
        <row r="70">
          <cell r="R70"/>
          <cell r="S70"/>
          <cell r="T70"/>
          <cell r="U70"/>
        </row>
        <row r="71">
          <cell r="R71"/>
          <cell r="S71"/>
          <cell r="T71"/>
          <cell r="U71"/>
        </row>
        <row r="72">
          <cell r="R72"/>
          <cell r="S72"/>
          <cell r="T72"/>
          <cell r="U72"/>
        </row>
        <row r="73">
          <cell r="R73"/>
          <cell r="S73"/>
          <cell r="T73"/>
          <cell r="U73"/>
        </row>
        <row r="74">
          <cell r="R74"/>
          <cell r="S74"/>
          <cell r="T74"/>
          <cell r="U74"/>
        </row>
        <row r="75">
          <cell r="R75"/>
          <cell r="S75"/>
          <cell r="T75"/>
          <cell r="U75"/>
        </row>
        <row r="76">
          <cell r="R76"/>
          <cell r="S76"/>
          <cell r="T76"/>
          <cell r="U76"/>
        </row>
        <row r="77">
          <cell r="R77"/>
          <cell r="S77"/>
          <cell r="T77"/>
          <cell r="U77"/>
        </row>
        <row r="78">
          <cell r="R78"/>
          <cell r="S78"/>
          <cell r="T78"/>
          <cell r="U78"/>
        </row>
        <row r="79">
          <cell r="R79"/>
          <cell r="S79"/>
          <cell r="T79"/>
          <cell r="U79"/>
        </row>
        <row r="80">
          <cell r="R80"/>
          <cell r="S80"/>
          <cell r="T80"/>
          <cell r="U80"/>
        </row>
        <row r="81">
          <cell r="R81"/>
          <cell r="S81"/>
          <cell r="T81"/>
          <cell r="U81"/>
        </row>
        <row r="82">
          <cell r="R82"/>
          <cell r="S82"/>
          <cell r="T82"/>
          <cell r="U82"/>
        </row>
        <row r="83">
          <cell r="R83"/>
          <cell r="S83"/>
          <cell r="T83"/>
          <cell r="U83"/>
        </row>
        <row r="84">
          <cell r="R84"/>
          <cell r="S84"/>
          <cell r="T84"/>
          <cell r="U84"/>
        </row>
        <row r="85">
          <cell r="R85"/>
          <cell r="S85"/>
          <cell r="T85"/>
          <cell r="U85"/>
        </row>
        <row r="86">
          <cell r="R86"/>
          <cell r="S86"/>
          <cell r="T86"/>
          <cell r="U86"/>
        </row>
        <row r="87">
          <cell r="R87"/>
          <cell r="S87"/>
          <cell r="T87"/>
          <cell r="U87"/>
        </row>
        <row r="88">
          <cell r="R88"/>
          <cell r="S88"/>
          <cell r="T88"/>
          <cell r="U88"/>
        </row>
        <row r="89">
          <cell r="R89"/>
          <cell r="S89"/>
          <cell r="T89"/>
          <cell r="U89"/>
        </row>
        <row r="90">
          <cell r="R90"/>
          <cell r="S90"/>
          <cell r="T90"/>
          <cell r="U90"/>
        </row>
        <row r="91">
          <cell r="U91"/>
        </row>
        <row r="92">
          <cell r="U92"/>
        </row>
        <row r="93">
          <cell r="U93"/>
        </row>
        <row r="94">
          <cell r="U94"/>
        </row>
        <row r="95">
          <cell r="U95"/>
        </row>
      </sheetData>
      <sheetData sheetId="7" refreshError="1"/>
      <sheetData sheetId="8" refreshError="1"/>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HERCHE"/>
      <sheetName val="calcul longoni"/>
      <sheetName val="longoni"/>
      <sheetName val="LE HAVRE"/>
      <sheetName val="ROUEN "/>
      <sheetName val="RADICATEL"/>
      <sheetName val="calcul rouen - radicatel"/>
      <sheetName val="FLEET LE HAVRE"/>
      <sheetName val="CALCUL LEHAVRE"/>
      <sheetName val="dkk"/>
      <sheetName val="CALCUL dkk"/>
      <sheetName val="mtx"/>
      <sheetName val="CALCUL mtx"/>
      <sheetName val="bdx"/>
      <sheetName val="CALCUL bdx"/>
      <sheetName val="brest"/>
      <sheetName val="CALCUL FOS"/>
      <sheetName val="FOS"/>
      <sheetName val="manut med europe"/>
      <sheetName val="Med Europe Terminal"/>
      <sheetName val="LE HAVRE RORO"/>
      <sheetName val="Ships particular"/>
      <sheetName val="CALCUL LEH RORO"/>
      <sheetName val="BREST RORO"/>
      <sheetName val="CALCUL BREST RORO"/>
      <sheetName val="CALCUL brest"/>
      <sheetName val="FL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LogAbstract"/>
      <sheetName val="VoySummary"/>
      <sheetName val="PortLog"/>
      <sheetName val="CargoOps"/>
      <sheetName val="HtgLog"/>
      <sheetName val="Bunker"/>
      <sheetName val="TkClng"/>
      <sheetName val="Key Meeting (2)"/>
      <sheetName val="VEF (2)"/>
      <sheetName val="OBQ ROB Incl Slops"/>
      <sheetName val="Tk Insp Load"/>
      <sheetName val="PumpLog"/>
      <sheetName val="Tk Insp disch"/>
      <sheetName val="Load Port LOP"/>
      <sheetName val="Discharge Port LOP"/>
      <sheetName val="Free Pratique"/>
      <sheetName val="Blank LOP"/>
      <sheetName val="SOF"/>
      <sheetName val="Agency Evaluation"/>
      <sheetName val="TSR"/>
      <sheetName val="Terminal Vetting"/>
      <sheetName val="01 Port Sea reports"/>
    </sheetNames>
    <sheetDataSet>
      <sheetData sheetId="0">
        <row r="4">
          <cell r="C4" t="str">
            <v>000420B</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LogAbstract"/>
      <sheetName val="VoySummary"/>
      <sheetName val="PortLog"/>
      <sheetName val="CargoOps"/>
      <sheetName val="HtgLog"/>
      <sheetName val="Bunker"/>
      <sheetName val="TkClng"/>
      <sheetName val="Key Meeting (2)"/>
      <sheetName val="VEF (2)"/>
      <sheetName val="OBQ ROB Incl Slops"/>
      <sheetName val="Tk Insp Load"/>
      <sheetName val="PumpLog"/>
      <sheetName val="Tk Insp disch"/>
      <sheetName val="Load Port LOP"/>
      <sheetName val="Discharge Port LOP"/>
      <sheetName val="Free Pratique"/>
      <sheetName val="Blank LOP"/>
      <sheetName val="SOF"/>
      <sheetName val="Agency Evaluation"/>
      <sheetName val="TSR"/>
      <sheetName val="Terminal Vetting"/>
      <sheetName val="01 Port Sea reports"/>
    </sheetNames>
    <sheetDataSet>
      <sheetData sheetId="0">
        <row r="4">
          <cell r="C4" t="str">
            <v>000420B</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7030A0"/>
  </sheetPr>
  <dimension ref="A1:Q35"/>
  <sheetViews>
    <sheetView tabSelected="1" workbookViewId="0">
      <selection activeCell="B25" sqref="B25"/>
    </sheetView>
  </sheetViews>
  <sheetFormatPr baseColWidth="10" defaultColWidth="9" defaultRowHeight="12.75"/>
  <cols>
    <col min="1" max="1" width="16.7109375" customWidth="1"/>
    <col min="2" max="2" width="28.28515625" customWidth="1"/>
    <col min="3" max="3" width="29" customWidth="1"/>
  </cols>
  <sheetData>
    <row r="1" spans="1:17" s="461" customFormat="1" ht="15">
      <c r="A1" s="493"/>
      <c r="B1" s="489" t="s">
        <v>567</v>
      </c>
      <c r="C1" s="490"/>
      <c r="D1" s="490"/>
      <c r="E1" s="483" t="s">
        <v>514</v>
      </c>
      <c r="F1" s="484"/>
      <c r="G1" s="485"/>
    </row>
    <row r="2" spans="1:17" s="461" customFormat="1" ht="15.75" thickBot="1">
      <c r="A2" s="494"/>
      <c r="B2" s="491"/>
      <c r="C2" s="492"/>
      <c r="D2" s="492"/>
      <c r="E2" s="486" t="s">
        <v>572</v>
      </c>
      <c r="F2" s="487"/>
      <c r="G2" s="488"/>
    </row>
    <row r="3" spans="1:17" s="461" customFormat="1"/>
    <row r="4" spans="1:17" s="461" customFormat="1"/>
    <row r="5" spans="1:17" s="461" customFormat="1" ht="13.5" thickBot="1"/>
    <row r="6" spans="1:17">
      <c r="I6" s="502" t="s">
        <v>450</v>
      </c>
      <c r="J6" s="503"/>
      <c r="K6" s="503"/>
      <c r="L6" s="503"/>
      <c r="M6" s="503"/>
      <c r="N6" s="503"/>
      <c r="O6" s="503"/>
      <c r="P6" s="503"/>
      <c r="Q6" s="504"/>
    </row>
    <row r="7" spans="1:17" ht="13.5" thickBot="1">
      <c r="I7" s="505"/>
      <c r="J7" s="506"/>
      <c r="K7" s="506"/>
      <c r="L7" s="506"/>
      <c r="M7" s="506"/>
      <c r="N7" s="506"/>
      <c r="O7" s="506"/>
      <c r="P7" s="506"/>
      <c r="Q7" s="507"/>
    </row>
    <row r="8" spans="1:17" ht="30" customHeight="1">
      <c r="A8" s="316" t="s">
        <v>34</v>
      </c>
      <c r="B8" s="73"/>
      <c r="C8" s="64"/>
      <c r="D8" s="64"/>
      <c r="I8" s="508" t="s">
        <v>451</v>
      </c>
      <c r="J8" s="509"/>
      <c r="K8" s="509"/>
      <c r="L8" s="509"/>
      <c r="M8" s="509"/>
      <c r="N8" s="509"/>
      <c r="O8" s="509"/>
      <c r="P8" s="509"/>
      <c r="Q8" s="510"/>
    </row>
    <row r="9" spans="1:17" ht="15" customHeight="1">
      <c r="A9" s="64"/>
      <c r="B9" s="64"/>
      <c r="C9" s="64"/>
      <c r="D9" s="64"/>
      <c r="I9" s="499"/>
      <c r="J9" s="500"/>
      <c r="K9" s="500"/>
      <c r="L9" s="500"/>
      <c r="M9" s="500"/>
      <c r="N9" s="500"/>
      <c r="O9" s="500"/>
      <c r="P9" s="500"/>
      <c r="Q9" s="501"/>
    </row>
    <row r="10" spans="1:17" ht="30" customHeight="1">
      <c r="B10" s="326" t="s">
        <v>570</v>
      </c>
      <c r="C10" s="326" t="s">
        <v>569</v>
      </c>
      <c r="I10" s="499"/>
      <c r="J10" s="500"/>
      <c r="K10" s="500"/>
      <c r="L10" s="500"/>
      <c r="M10" s="500"/>
      <c r="N10" s="500"/>
      <c r="O10" s="500"/>
      <c r="P10" s="500"/>
      <c r="Q10" s="501"/>
    </row>
    <row r="11" spans="1:17" ht="30" customHeight="1">
      <c r="A11" s="316" t="s">
        <v>89</v>
      </c>
      <c r="B11" s="73"/>
      <c r="C11" s="73"/>
      <c r="D11" s="64"/>
      <c r="I11" s="511" t="s">
        <v>565</v>
      </c>
      <c r="J11" s="512"/>
      <c r="K11" s="512"/>
      <c r="L11" s="512"/>
      <c r="M11" s="512"/>
      <c r="N11" s="512"/>
      <c r="O11" s="512"/>
      <c r="P11" s="512"/>
      <c r="Q11" s="513"/>
    </row>
    <row r="12" spans="1:17" ht="15" customHeight="1">
      <c r="A12" s="64"/>
      <c r="B12" s="64"/>
      <c r="C12" s="64"/>
      <c r="D12" s="64"/>
      <c r="I12" s="473"/>
      <c r="J12" s="474"/>
      <c r="K12" s="474"/>
      <c r="L12" s="474"/>
      <c r="M12" s="474"/>
      <c r="N12" s="474"/>
      <c r="O12" s="474"/>
      <c r="P12" s="474"/>
      <c r="Q12" s="475"/>
    </row>
    <row r="13" spans="1:17" ht="30" customHeight="1">
      <c r="A13" s="316" t="s">
        <v>396</v>
      </c>
      <c r="B13" s="388"/>
      <c r="C13" s="388"/>
      <c r="D13" s="64"/>
      <c r="I13" s="499" t="s">
        <v>458</v>
      </c>
      <c r="J13" s="500"/>
      <c r="K13" s="500"/>
      <c r="L13" s="500"/>
      <c r="M13" s="500"/>
      <c r="N13" s="500"/>
      <c r="O13" s="500"/>
      <c r="P13" s="500"/>
      <c r="Q13" s="501"/>
    </row>
    <row r="14" spans="1:17" ht="15" customHeight="1">
      <c r="A14" s="64"/>
      <c r="B14" s="64"/>
      <c r="C14" s="64"/>
      <c r="D14" s="64"/>
      <c r="I14" s="473"/>
      <c r="J14" s="474"/>
      <c r="K14" s="474"/>
      <c r="L14" s="474"/>
      <c r="M14" s="474"/>
      <c r="N14" s="474"/>
      <c r="O14" s="474"/>
      <c r="P14" s="474"/>
      <c r="Q14" s="475"/>
    </row>
    <row r="15" spans="1:17" ht="30" customHeight="1">
      <c r="A15" s="316" t="s">
        <v>395</v>
      </c>
      <c r="B15" s="299"/>
      <c r="C15" s="477"/>
      <c r="D15" s="64"/>
      <c r="I15" s="499" t="s">
        <v>457</v>
      </c>
      <c r="J15" s="500"/>
      <c r="K15" s="500"/>
      <c r="L15" s="500"/>
      <c r="M15" s="500"/>
      <c r="N15" s="500"/>
      <c r="O15" s="500"/>
      <c r="P15" s="500"/>
      <c r="Q15" s="501"/>
    </row>
    <row r="16" spans="1:17" ht="15" customHeight="1">
      <c r="A16" s="64"/>
      <c r="B16" s="64"/>
      <c r="C16" s="64"/>
      <c r="D16" s="64"/>
      <c r="I16" s="473"/>
      <c r="J16" s="474"/>
      <c r="K16" s="474"/>
      <c r="L16" s="474"/>
      <c r="M16" s="474"/>
      <c r="N16" s="474"/>
      <c r="O16" s="474"/>
      <c r="P16" s="474"/>
      <c r="Q16" s="475"/>
    </row>
    <row r="17" spans="1:17" ht="30" customHeight="1">
      <c r="A17" s="352" t="s">
        <v>448</v>
      </c>
      <c r="B17" s="73"/>
      <c r="C17" s="64"/>
      <c r="D17" s="64"/>
      <c r="I17" s="499" t="s">
        <v>452</v>
      </c>
      <c r="J17" s="500"/>
      <c r="K17" s="500"/>
      <c r="L17" s="500"/>
      <c r="M17" s="500"/>
      <c r="N17" s="500"/>
      <c r="O17" s="500"/>
      <c r="P17" s="500"/>
      <c r="Q17" s="501"/>
    </row>
    <row r="18" spans="1:17" ht="15" customHeight="1">
      <c r="A18" s="64"/>
      <c r="B18" s="64"/>
      <c r="C18" s="64"/>
      <c r="D18" s="64"/>
      <c r="I18" s="473"/>
      <c r="J18" s="474"/>
      <c r="K18" s="474"/>
      <c r="L18" s="474"/>
      <c r="M18" s="474"/>
      <c r="N18" s="474"/>
      <c r="O18" s="474"/>
      <c r="P18" s="474"/>
      <c r="Q18" s="475"/>
    </row>
    <row r="19" spans="1:17" ht="30" customHeight="1">
      <c r="A19" s="316" t="s">
        <v>90</v>
      </c>
      <c r="B19" s="298"/>
      <c r="C19" s="64"/>
      <c r="D19" s="339"/>
      <c r="E19" s="376"/>
      <c r="F19" s="430"/>
      <c r="G19" s="353"/>
      <c r="I19" s="514" t="s">
        <v>543</v>
      </c>
      <c r="J19" s="515"/>
      <c r="K19" s="515"/>
      <c r="L19" s="515"/>
      <c r="M19" s="515"/>
      <c r="N19" s="515"/>
      <c r="O19" s="515"/>
      <c r="P19" s="515"/>
      <c r="Q19" s="516"/>
    </row>
    <row r="20" spans="1:17" ht="15" customHeight="1">
      <c r="A20" s="64"/>
      <c r="B20" s="64"/>
      <c r="C20" s="64"/>
      <c r="D20" s="64"/>
      <c r="I20" s="473"/>
      <c r="J20" s="474"/>
      <c r="K20" s="474"/>
      <c r="L20" s="474"/>
      <c r="M20" s="474"/>
      <c r="N20" s="474"/>
      <c r="O20" s="474"/>
      <c r="P20" s="474"/>
      <c r="Q20" s="475"/>
    </row>
    <row r="21" spans="1:17" s="339" customFormat="1" ht="30" customHeight="1">
      <c r="A21" s="316" t="s">
        <v>491</v>
      </c>
      <c r="B21" s="298"/>
      <c r="C21" s="64"/>
      <c r="D21" s="64"/>
      <c r="I21" s="499" t="s">
        <v>564</v>
      </c>
      <c r="J21" s="500"/>
      <c r="K21" s="500"/>
      <c r="L21" s="500"/>
      <c r="M21" s="500"/>
      <c r="N21" s="500"/>
      <c r="O21" s="500"/>
      <c r="P21" s="500"/>
      <c r="Q21" s="501"/>
    </row>
    <row r="22" spans="1:17" s="339" customFormat="1" ht="15" customHeight="1">
      <c r="A22" s="64"/>
      <c r="B22" s="64"/>
      <c r="C22" s="64"/>
      <c r="D22" s="64"/>
      <c r="I22" s="473"/>
      <c r="J22" s="474"/>
      <c r="K22" s="474"/>
      <c r="L22" s="474"/>
      <c r="M22" s="474"/>
      <c r="N22" s="474"/>
      <c r="O22" s="474"/>
      <c r="P22" s="474"/>
      <c r="Q22" s="475"/>
    </row>
    <row r="23" spans="1:17" ht="30" customHeight="1">
      <c r="A23" s="316" t="s">
        <v>91</v>
      </c>
      <c r="B23" s="298"/>
      <c r="C23" s="64"/>
      <c r="D23" s="64"/>
      <c r="I23" s="499" t="s">
        <v>563</v>
      </c>
      <c r="J23" s="500"/>
      <c r="K23" s="500"/>
      <c r="L23" s="500"/>
      <c r="M23" s="500"/>
      <c r="N23" s="500"/>
      <c r="O23" s="500"/>
      <c r="P23" s="500"/>
      <c r="Q23" s="501"/>
    </row>
    <row r="24" spans="1:17" ht="15" customHeight="1">
      <c r="C24" s="455" t="s">
        <v>575</v>
      </c>
      <c r="D24" s="495"/>
      <c r="E24" s="495"/>
      <c r="F24" s="495"/>
      <c r="I24" s="473"/>
      <c r="J24" s="474"/>
      <c r="K24" s="474"/>
      <c r="L24" s="474"/>
      <c r="M24" s="474"/>
      <c r="N24" s="474"/>
      <c r="O24" s="474"/>
      <c r="P24" s="474"/>
      <c r="Q24" s="475"/>
    </row>
    <row r="25" spans="1:17" ht="30" customHeight="1">
      <c r="A25" s="317" t="s">
        <v>102</v>
      </c>
      <c r="B25" s="321"/>
      <c r="C25" s="388"/>
      <c r="D25" s="517"/>
      <c r="E25" s="517"/>
      <c r="F25" s="517"/>
      <c r="I25" s="499" t="s">
        <v>449</v>
      </c>
      <c r="J25" s="500"/>
      <c r="K25" s="500"/>
      <c r="L25" s="500"/>
      <c r="M25" s="500"/>
      <c r="N25" s="500"/>
      <c r="O25" s="500"/>
      <c r="P25" s="500"/>
      <c r="Q25" s="501"/>
    </row>
    <row r="26" spans="1:17" ht="15" customHeight="1">
      <c r="A26" s="64"/>
      <c r="B26" s="64"/>
      <c r="C26" s="64"/>
      <c r="D26" s="476"/>
      <c r="E26" s="400"/>
      <c r="I26" s="473"/>
      <c r="J26" s="474"/>
      <c r="K26" s="474"/>
      <c r="L26" s="474"/>
      <c r="M26" s="474"/>
      <c r="N26" s="474"/>
      <c r="O26" s="474"/>
      <c r="P26" s="474"/>
      <c r="Q26" s="475"/>
    </row>
    <row r="27" spans="1:17" ht="30" customHeight="1">
      <c r="A27" s="316" t="s">
        <v>576</v>
      </c>
      <c r="B27" s="298"/>
      <c r="C27" s="64"/>
      <c r="D27" s="64"/>
      <c r="I27" s="499" t="s">
        <v>454</v>
      </c>
      <c r="J27" s="500"/>
      <c r="K27" s="500"/>
      <c r="L27" s="500"/>
      <c r="M27" s="500"/>
      <c r="N27" s="500"/>
      <c r="O27" s="500"/>
      <c r="P27" s="500"/>
      <c r="Q27" s="501"/>
    </row>
    <row r="28" spans="1:17" ht="15" customHeight="1">
      <c r="A28" s="64"/>
      <c r="B28" s="64"/>
      <c r="C28" s="64"/>
      <c r="D28" s="64"/>
      <c r="I28" s="473"/>
      <c r="J28" s="474"/>
      <c r="K28" s="474"/>
      <c r="L28" s="474"/>
      <c r="M28" s="474"/>
      <c r="N28" s="474"/>
      <c r="O28" s="474"/>
      <c r="P28" s="474"/>
      <c r="Q28" s="475"/>
    </row>
    <row r="29" spans="1:17" ht="30" customHeight="1">
      <c r="A29" s="316" t="s">
        <v>577</v>
      </c>
      <c r="B29" s="298"/>
      <c r="C29" s="64"/>
      <c r="D29" s="64"/>
      <c r="I29" s="499" t="s">
        <v>453</v>
      </c>
      <c r="J29" s="500"/>
      <c r="K29" s="500"/>
      <c r="L29" s="500"/>
      <c r="M29" s="500"/>
      <c r="N29" s="500"/>
      <c r="O29" s="500"/>
      <c r="P29" s="500"/>
      <c r="Q29" s="501"/>
    </row>
    <row r="30" spans="1:17" ht="15" customHeight="1">
      <c r="A30" s="64"/>
      <c r="B30" s="64"/>
      <c r="C30" s="64"/>
      <c r="D30" s="64"/>
      <c r="I30" s="473"/>
      <c r="J30" s="474"/>
      <c r="K30" s="474"/>
      <c r="L30" s="474"/>
      <c r="M30" s="474"/>
      <c r="N30" s="474"/>
      <c r="O30" s="474"/>
      <c r="P30" s="474"/>
      <c r="Q30" s="475"/>
    </row>
    <row r="31" spans="1:17" ht="30" customHeight="1">
      <c r="A31" s="316" t="s">
        <v>578</v>
      </c>
      <c r="B31" s="328"/>
      <c r="C31" s="467"/>
      <c r="D31" s="64"/>
      <c r="I31" s="499" t="s">
        <v>455</v>
      </c>
      <c r="J31" s="500"/>
      <c r="K31" s="500"/>
      <c r="L31" s="500"/>
      <c r="M31" s="500"/>
      <c r="N31" s="500"/>
      <c r="O31" s="500"/>
      <c r="P31" s="500"/>
      <c r="Q31" s="501"/>
    </row>
    <row r="32" spans="1:17" ht="15" customHeight="1">
      <c r="D32" s="64"/>
      <c r="I32" s="473"/>
      <c r="J32" s="474"/>
      <c r="K32" s="474"/>
      <c r="L32" s="474"/>
      <c r="M32" s="474"/>
      <c r="N32" s="474"/>
      <c r="O32" s="474"/>
      <c r="P32" s="474"/>
      <c r="Q32" s="475"/>
    </row>
    <row r="33" spans="1:17" ht="30" customHeight="1">
      <c r="A33" s="316" t="s">
        <v>580</v>
      </c>
      <c r="B33" s="388"/>
      <c r="C33" s="430"/>
      <c r="D33" s="64"/>
      <c r="I33" s="499" t="s">
        <v>456</v>
      </c>
      <c r="J33" s="500"/>
      <c r="K33" s="500"/>
      <c r="L33" s="500"/>
      <c r="M33" s="500"/>
      <c r="N33" s="500"/>
      <c r="O33" s="500"/>
      <c r="P33" s="500"/>
      <c r="Q33" s="501"/>
    </row>
    <row r="34" spans="1:17" ht="15" customHeight="1">
      <c r="I34" s="499"/>
      <c r="J34" s="500"/>
      <c r="K34" s="500"/>
      <c r="L34" s="500"/>
      <c r="M34" s="500"/>
      <c r="N34" s="500"/>
      <c r="O34" s="500"/>
      <c r="P34" s="500"/>
      <c r="Q34" s="501"/>
    </row>
    <row r="35" spans="1:17" ht="30" customHeight="1" thickBot="1">
      <c r="A35" s="327" t="s">
        <v>579</v>
      </c>
      <c r="B35" s="328"/>
      <c r="I35" s="496" t="s">
        <v>513</v>
      </c>
      <c r="J35" s="497"/>
      <c r="K35" s="497"/>
      <c r="L35" s="497"/>
      <c r="M35" s="497"/>
      <c r="N35" s="497"/>
      <c r="O35" s="497"/>
      <c r="P35" s="497"/>
      <c r="Q35" s="498"/>
    </row>
  </sheetData>
  <mergeCells count="24">
    <mergeCell ref="I27:Q27"/>
    <mergeCell ref="I19:Q19"/>
    <mergeCell ref="I23:Q23"/>
    <mergeCell ref="D25:F25"/>
    <mergeCell ref="I13:Q13"/>
    <mergeCell ref="I15:Q15"/>
    <mergeCell ref="I17:Q17"/>
    <mergeCell ref="I21:Q21"/>
    <mergeCell ref="I25:Q25"/>
    <mergeCell ref="I6:Q7"/>
    <mergeCell ref="I8:Q8"/>
    <mergeCell ref="I9:Q9"/>
    <mergeCell ref="I10:Q10"/>
    <mergeCell ref="I11:Q11"/>
    <mergeCell ref="I35:Q35"/>
    <mergeCell ref="I29:Q29"/>
    <mergeCell ref="I31:Q31"/>
    <mergeCell ref="I33:Q33"/>
    <mergeCell ref="I34:Q34"/>
    <mergeCell ref="E1:G1"/>
    <mergeCell ref="E2:G2"/>
    <mergeCell ref="B1:D2"/>
    <mergeCell ref="A1:A2"/>
    <mergeCell ref="D24:F24"/>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DF777-9963-4A5A-854A-BC5B7B13F46A}">
  <sheetPr codeName="Sheet2">
    <tabColor rgb="FF92D050"/>
    <pageSetUpPr fitToPage="1"/>
  </sheetPr>
  <dimension ref="A1:W67"/>
  <sheetViews>
    <sheetView topLeftCell="A13" workbookViewId="0">
      <selection activeCell="O3" sqref="O3:W23"/>
    </sheetView>
  </sheetViews>
  <sheetFormatPr baseColWidth="10" defaultColWidth="9" defaultRowHeight="15" customHeight="1"/>
  <cols>
    <col min="1" max="1" width="12.28515625" style="92" customWidth="1"/>
    <col min="2" max="2" width="13.28515625" style="92" customWidth="1"/>
    <col min="3" max="3" width="11.5703125" style="92" customWidth="1"/>
    <col min="4" max="5" width="12.5703125" style="92" customWidth="1"/>
    <col min="6" max="6" width="11" style="92" customWidth="1"/>
    <col min="7" max="7" width="10.85546875" style="92" customWidth="1"/>
    <col min="8" max="8" width="8.85546875" style="92" customWidth="1"/>
    <col min="9" max="9" width="11" style="92" customWidth="1"/>
    <col min="10" max="10" width="10.42578125" style="92" bestFit="1" customWidth="1"/>
    <col min="11" max="11" width="7.28515625" style="92" hidden="1" customWidth="1"/>
    <col min="12" max="12" width="9.5703125" style="92" hidden="1" customWidth="1"/>
    <col min="13" max="16384" width="9" style="92"/>
  </cols>
  <sheetData>
    <row r="1" spans="1:23" ht="15" customHeight="1">
      <c r="A1" s="303"/>
      <c r="B1" s="304"/>
      <c r="C1" s="552" t="s">
        <v>127</v>
      </c>
      <c r="D1" s="552"/>
      <c r="E1" s="552"/>
      <c r="F1" s="552"/>
      <c r="G1" s="552"/>
      <c r="H1" s="552"/>
      <c r="I1" s="305"/>
      <c r="J1" s="343" t="s">
        <v>2</v>
      </c>
      <c r="K1" s="280" t="s">
        <v>128</v>
      </c>
      <c r="L1" s="93" t="s">
        <v>2</v>
      </c>
      <c r="O1" s="530" t="s">
        <v>450</v>
      </c>
      <c r="P1" s="531"/>
      <c r="Q1" s="531"/>
      <c r="R1" s="531"/>
      <c r="S1" s="531"/>
      <c r="T1" s="531"/>
      <c r="U1" s="531"/>
      <c r="V1" s="531"/>
      <c r="W1" s="532"/>
    </row>
    <row r="2" spans="1:23" ht="15" customHeight="1" thickBot="1">
      <c r="A2" s="306"/>
      <c r="B2" s="431"/>
      <c r="C2" s="553"/>
      <c r="D2" s="553"/>
      <c r="E2" s="553"/>
      <c r="F2" s="553"/>
      <c r="G2" s="553"/>
      <c r="H2" s="553"/>
      <c r="I2" s="302" t="s">
        <v>402</v>
      </c>
      <c r="J2" s="307">
        <v>2</v>
      </c>
      <c r="K2" s="281" t="s">
        <v>33</v>
      </c>
      <c r="L2" s="94">
        <v>42917</v>
      </c>
      <c r="O2" s="533"/>
      <c r="P2" s="534"/>
      <c r="Q2" s="534"/>
      <c r="R2" s="534"/>
      <c r="S2" s="534"/>
      <c r="T2" s="534"/>
      <c r="U2" s="534"/>
      <c r="V2" s="534"/>
      <c r="W2" s="535"/>
    </row>
    <row r="3" spans="1:23" ht="15" customHeight="1" thickBot="1">
      <c r="A3" s="306"/>
      <c r="B3" s="431"/>
      <c r="C3" s="553"/>
      <c r="D3" s="553"/>
      <c r="E3" s="553"/>
      <c r="F3" s="553"/>
      <c r="G3" s="553"/>
      <c r="H3" s="553"/>
      <c r="I3" s="432" t="s">
        <v>39</v>
      </c>
      <c r="J3" s="486" t="s">
        <v>572</v>
      </c>
      <c r="K3" s="487"/>
      <c r="L3" s="488"/>
      <c r="O3" s="542" t="s">
        <v>589</v>
      </c>
      <c r="P3" s="543"/>
      <c r="Q3" s="543"/>
      <c r="R3" s="543"/>
      <c r="S3" s="543"/>
      <c r="T3" s="543"/>
      <c r="U3" s="543"/>
      <c r="V3" s="543"/>
      <c r="W3" s="544"/>
    </row>
    <row r="4" spans="1:23" ht="20.100000000000001" customHeight="1">
      <c r="A4" s="554" t="s">
        <v>97</v>
      </c>
      <c r="B4" s="556" t="str">
        <f>IF('Data Entry'!B8="","",'Data Entry'!B8)</f>
        <v/>
      </c>
      <c r="C4" s="434"/>
      <c r="D4" s="558" t="s">
        <v>139</v>
      </c>
      <c r="E4" s="435" t="s">
        <v>446</v>
      </c>
      <c r="F4" s="435" t="s">
        <v>447</v>
      </c>
      <c r="G4" s="560" t="s">
        <v>129</v>
      </c>
      <c r="H4" s="562" t="str">
        <f>IF('Data Entry'!B17="","",'Data Entry'!B17)</f>
        <v/>
      </c>
      <c r="I4" s="562"/>
      <c r="J4" s="563"/>
      <c r="K4" s="96" t="s">
        <v>131</v>
      </c>
      <c r="L4" s="97"/>
      <c r="O4" s="545"/>
      <c r="P4" s="546"/>
      <c r="Q4" s="546"/>
      <c r="R4" s="546"/>
      <c r="S4" s="546"/>
      <c r="T4" s="546"/>
      <c r="U4" s="546"/>
      <c r="V4" s="546"/>
      <c r="W4" s="547"/>
    </row>
    <row r="5" spans="1:23" ht="20.100000000000001" customHeight="1" thickBot="1">
      <c r="A5" s="555"/>
      <c r="B5" s="557"/>
      <c r="C5" s="354"/>
      <c r="D5" s="559"/>
      <c r="E5" s="436" t="str">
        <f>IF('Data Entry'!B11="","",'Data Entry'!B11)</f>
        <v/>
      </c>
      <c r="F5" s="436" t="str">
        <f>IF('Data Entry'!C11="","",'Data Entry'!C11)</f>
        <v/>
      </c>
      <c r="G5" s="561"/>
      <c r="H5" s="564"/>
      <c r="I5" s="564"/>
      <c r="J5" s="565"/>
      <c r="K5" s="220" t="s">
        <v>132</v>
      </c>
      <c r="L5" s="221" t="s">
        <v>133</v>
      </c>
      <c r="O5" s="545"/>
      <c r="P5" s="546"/>
      <c r="Q5" s="546"/>
      <c r="R5" s="546"/>
      <c r="S5" s="546"/>
      <c r="T5" s="546"/>
      <c r="U5" s="546"/>
      <c r="V5" s="546"/>
      <c r="W5" s="547"/>
    </row>
    <row r="6" spans="1:23" ht="12" customHeight="1" thickBot="1">
      <c r="A6" s="462"/>
      <c r="B6" s="463"/>
      <c r="C6" s="463"/>
      <c r="D6" s="463"/>
      <c r="E6" s="463"/>
      <c r="F6" s="463"/>
      <c r="G6" s="463"/>
      <c r="H6" s="464"/>
      <c r="I6" s="433" t="s">
        <v>39</v>
      </c>
      <c r="J6" s="338" t="s">
        <v>130</v>
      </c>
      <c r="K6" s="323"/>
      <c r="L6" s="324"/>
      <c r="O6" s="545"/>
      <c r="P6" s="546"/>
      <c r="Q6" s="546"/>
      <c r="R6" s="546"/>
      <c r="S6" s="546"/>
      <c r="T6" s="546"/>
      <c r="U6" s="546"/>
      <c r="V6" s="546"/>
      <c r="W6" s="547"/>
    </row>
    <row r="7" spans="1:23" ht="12" customHeight="1">
      <c r="A7" s="524" t="s">
        <v>433</v>
      </c>
      <c r="B7" s="525"/>
      <c r="C7" s="525"/>
      <c r="D7" s="525"/>
      <c r="E7" s="525"/>
      <c r="F7" s="525"/>
      <c r="G7" s="525"/>
      <c r="H7" s="526"/>
      <c r="I7" s="439">
        <v>46018</v>
      </c>
      <c r="J7" s="440">
        <v>0.375</v>
      </c>
      <c r="K7" s="252"/>
      <c r="L7" s="253"/>
      <c r="O7" s="545"/>
      <c r="P7" s="546"/>
      <c r="Q7" s="546"/>
      <c r="R7" s="546"/>
      <c r="S7" s="546"/>
      <c r="T7" s="546"/>
      <c r="U7" s="546"/>
      <c r="V7" s="546"/>
      <c r="W7" s="547"/>
    </row>
    <row r="8" spans="1:23" ht="12" customHeight="1">
      <c r="A8" s="518" t="s">
        <v>553</v>
      </c>
      <c r="B8" s="519"/>
      <c r="C8" s="519"/>
      <c r="D8" s="519"/>
      <c r="E8" s="519"/>
      <c r="F8" s="519"/>
      <c r="G8" s="519"/>
      <c r="H8" s="520"/>
      <c r="I8" s="439" t="s">
        <v>555</v>
      </c>
      <c r="J8" s="440">
        <v>0.375</v>
      </c>
      <c r="K8" s="301"/>
      <c r="L8" s="98"/>
      <c r="O8" s="545"/>
      <c r="P8" s="546"/>
      <c r="Q8" s="546"/>
      <c r="R8" s="546"/>
      <c r="S8" s="546"/>
      <c r="T8" s="546"/>
      <c r="U8" s="546"/>
      <c r="V8" s="546"/>
      <c r="W8" s="547"/>
    </row>
    <row r="9" spans="1:23" ht="12" customHeight="1">
      <c r="A9" s="518" t="s">
        <v>399</v>
      </c>
      <c r="B9" s="519"/>
      <c r="C9" s="519"/>
      <c r="D9" s="519"/>
      <c r="E9" s="519"/>
      <c r="F9" s="519"/>
      <c r="G9" s="519"/>
      <c r="H9" s="520"/>
      <c r="I9" s="439" t="s">
        <v>555</v>
      </c>
      <c r="J9" s="440">
        <v>0.375</v>
      </c>
      <c r="K9" s="301"/>
      <c r="L9" s="98"/>
      <c r="O9" s="545"/>
      <c r="P9" s="546"/>
      <c r="Q9" s="546"/>
      <c r="R9" s="546"/>
      <c r="S9" s="546"/>
      <c r="T9" s="546"/>
      <c r="U9" s="546"/>
      <c r="V9" s="546"/>
      <c r="W9" s="547"/>
    </row>
    <row r="10" spans="1:23" ht="12" customHeight="1">
      <c r="A10" s="518" t="s">
        <v>398</v>
      </c>
      <c r="B10" s="519"/>
      <c r="C10" s="519"/>
      <c r="D10" s="519"/>
      <c r="E10" s="519"/>
      <c r="F10" s="519"/>
      <c r="G10" s="519"/>
      <c r="H10" s="520"/>
      <c r="I10" s="439" t="s">
        <v>555</v>
      </c>
      <c r="J10" s="440">
        <v>0.45833333333333331</v>
      </c>
      <c r="K10" s="301"/>
      <c r="L10" s="98"/>
      <c r="O10" s="545"/>
      <c r="P10" s="546"/>
      <c r="Q10" s="546"/>
      <c r="R10" s="546"/>
      <c r="S10" s="546"/>
      <c r="T10" s="546"/>
      <c r="U10" s="546"/>
      <c r="V10" s="546"/>
      <c r="W10" s="547"/>
    </row>
    <row r="11" spans="1:23" ht="12" customHeight="1">
      <c r="A11" s="518" t="s">
        <v>367</v>
      </c>
      <c r="B11" s="519"/>
      <c r="C11" s="519"/>
      <c r="D11" s="519"/>
      <c r="E11" s="519"/>
      <c r="F11" s="519"/>
      <c r="G11" s="519"/>
      <c r="H11" s="520"/>
      <c r="I11" s="439" t="s">
        <v>555</v>
      </c>
      <c r="J11" s="440">
        <v>0.47222222222222221</v>
      </c>
      <c r="K11" s="301"/>
      <c r="L11" s="322"/>
      <c r="O11" s="545"/>
      <c r="P11" s="546"/>
      <c r="Q11" s="546"/>
      <c r="R11" s="546"/>
      <c r="S11" s="546"/>
      <c r="T11" s="546"/>
      <c r="U11" s="546"/>
      <c r="V11" s="546"/>
      <c r="W11" s="547"/>
    </row>
    <row r="12" spans="1:23" ht="12" customHeight="1">
      <c r="A12" s="527" t="s">
        <v>556</v>
      </c>
      <c r="B12" s="528"/>
      <c r="C12" s="528"/>
      <c r="D12" s="528"/>
      <c r="E12" s="528"/>
      <c r="F12" s="528"/>
      <c r="G12" s="528"/>
      <c r="H12" s="529"/>
      <c r="I12" s="439" t="s">
        <v>555</v>
      </c>
      <c r="J12" s="440">
        <v>0.64583333333333337</v>
      </c>
      <c r="K12" s="301"/>
      <c r="L12" s="98"/>
      <c r="O12" s="545"/>
      <c r="P12" s="546"/>
      <c r="Q12" s="546"/>
      <c r="R12" s="546"/>
      <c r="S12" s="546"/>
      <c r="T12" s="546"/>
      <c r="U12" s="546"/>
      <c r="V12" s="546"/>
      <c r="W12" s="547"/>
    </row>
    <row r="13" spans="1:23" ht="12" customHeight="1">
      <c r="A13" s="527" t="s">
        <v>439</v>
      </c>
      <c r="B13" s="528"/>
      <c r="C13" s="528"/>
      <c r="D13" s="528"/>
      <c r="E13" s="528"/>
      <c r="F13" s="528"/>
      <c r="G13" s="528"/>
      <c r="H13" s="529"/>
      <c r="I13" s="439" t="s">
        <v>555</v>
      </c>
      <c r="J13" s="440">
        <v>0.79166666666666663</v>
      </c>
      <c r="K13" s="301"/>
      <c r="L13" s="98"/>
      <c r="O13" s="545"/>
      <c r="P13" s="546"/>
      <c r="Q13" s="546"/>
      <c r="R13" s="546"/>
      <c r="S13" s="546"/>
      <c r="T13" s="546"/>
      <c r="U13" s="546"/>
      <c r="V13" s="546"/>
      <c r="W13" s="547"/>
    </row>
    <row r="14" spans="1:23" ht="12" customHeight="1">
      <c r="A14" s="518" t="s">
        <v>400</v>
      </c>
      <c r="B14" s="519"/>
      <c r="C14" s="519"/>
      <c r="D14" s="519"/>
      <c r="E14" s="519"/>
      <c r="F14" s="519"/>
      <c r="G14" s="519"/>
      <c r="H14" s="520"/>
      <c r="I14" s="439">
        <v>45685</v>
      </c>
      <c r="J14" s="440">
        <v>0.47916666666666669</v>
      </c>
      <c r="K14" s="301"/>
      <c r="L14" s="98"/>
      <c r="O14" s="545"/>
      <c r="P14" s="546"/>
      <c r="Q14" s="546"/>
      <c r="R14" s="546"/>
      <c r="S14" s="546"/>
      <c r="T14" s="546"/>
      <c r="U14" s="546"/>
      <c r="V14" s="546"/>
      <c r="W14" s="547"/>
    </row>
    <row r="15" spans="1:23" ht="12" customHeight="1">
      <c r="A15" s="518" t="s">
        <v>544</v>
      </c>
      <c r="B15" s="519"/>
      <c r="C15" s="519"/>
      <c r="D15" s="519"/>
      <c r="E15" s="519"/>
      <c r="F15" s="519"/>
      <c r="G15" s="519"/>
      <c r="H15" s="520"/>
      <c r="I15" s="439" t="s">
        <v>555</v>
      </c>
      <c r="J15" s="440">
        <v>0.54166666666666663</v>
      </c>
      <c r="K15" s="301"/>
      <c r="L15" s="98"/>
      <c r="O15" s="545"/>
      <c r="P15" s="546"/>
      <c r="Q15" s="546"/>
      <c r="R15" s="546"/>
      <c r="S15" s="546"/>
      <c r="T15" s="546"/>
      <c r="U15" s="546"/>
      <c r="V15" s="546"/>
      <c r="W15" s="547"/>
    </row>
    <row r="16" spans="1:23" ht="12" customHeight="1">
      <c r="A16" s="518" t="s">
        <v>440</v>
      </c>
      <c r="B16" s="519"/>
      <c r="C16" s="519"/>
      <c r="D16" s="519"/>
      <c r="E16" s="519"/>
      <c r="F16" s="519"/>
      <c r="G16" s="519"/>
      <c r="H16" s="520"/>
      <c r="I16" s="439" t="s">
        <v>555</v>
      </c>
      <c r="J16" s="440">
        <v>0.55902777777777779</v>
      </c>
      <c r="K16" s="301"/>
      <c r="L16" s="98"/>
      <c r="O16" s="545"/>
      <c r="P16" s="546"/>
      <c r="Q16" s="546"/>
      <c r="R16" s="546"/>
      <c r="S16" s="546"/>
      <c r="T16" s="546"/>
      <c r="U16" s="546"/>
      <c r="V16" s="546"/>
      <c r="W16" s="547"/>
    </row>
    <row r="17" spans="1:23" ht="12" customHeight="1">
      <c r="A17" s="518" t="s">
        <v>545</v>
      </c>
      <c r="B17" s="519"/>
      <c r="C17" s="519"/>
      <c r="D17" s="519"/>
      <c r="E17" s="519"/>
      <c r="F17" s="519"/>
      <c r="G17" s="519"/>
      <c r="H17" s="520"/>
      <c r="I17" s="439" t="s">
        <v>555</v>
      </c>
      <c r="J17" s="440">
        <v>0.60416666666666663</v>
      </c>
      <c r="K17" s="301"/>
      <c r="L17" s="98"/>
      <c r="O17" s="545"/>
      <c r="P17" s="546"/>
      <c r="Q17" s="546"/>
      <c r="R17" s="546"/>
      <c r="S17" s="546"/>
      <c r="T17" s="546"/>
      <c r="U17" s="546"/>
      <c r="V17" s="546"/>
      <c r="W17" s="547"/>
    </row>
    <row r="18" spans="1:23" ht="12" customHeight="1">
      <c r="A18" s="518" t="s">
        <v>546</v>
      </c>
      <c r="B18" s="519"/>
      <c r="C18" s="519"/>
      <c r="D18" s="519"/>
      <c r="E18" s="519"/>
      <c r="F18" s="519"/>
      <c r="G18" s="519"/>
      <c r="H18" s="520"/>
      <c r="I18" s="439" t="s">
        <v>555</v>
      </c>
      <c r="J18" s="440">
        <v>0.61805555555555558</v>
      </c>
      <c r="K18" s="301"/>
      <c r="L18" s="98"/>
      <c r="O18" s="545"/>
      <c r="P18" s="546"/>
      <c r="Q18" s="546"/>
      <c r="R18" s="546"/>
      <c r="S18" s="546"/>
      <c r="T18" s="546"/>
      <c r="U18" s="546"/>
      <c r="V18" s="546"/>
      <c r="W18" s="547"/>
    </row>
    <row r="19" spans="1:23" ht="12" customHeight="1">
      <c r="A19" s="518" t="s">
        <v>548</v>
      </c>
      <c r="B19" s="519"/>
      <c r="C19" s="519"/>
      <c r="D19" s="519"/>
      <c r="E19" s="519"/>
      <c r="F19" s="519"/>
      <c r="G19" s="519"/>
      <c r="H19" s="520"/>
      <c r="I19" s="439" t="s">
        <v>555</v>
      </c>
      <c r="J19" s="440">
        <v>0.625</v>
      </c>
      <c r="K19" s="301"/>
      <c r="L19" s="98"/>
      <c r="O19" s="545"/>
      <c r="P19" s="546"/>
      <c r="Q19" s="546"/>
      <c r="R19" s="546"/>
      <c r="S19" s="546"/>
      <c r="T19" s="546"/>
      <c r="U19" s="546"/>
      <c r="V19" s="546"/>
      <c r="W19" s="547"/>
    </row>
    <row r="20" spans="1:23" ht="12" customHeight="1">
      <c r="A20" s="518" t="s">
        <v>547</v>
      </c>
      <c r="B20" s="519"/>
      <c r="C20" s="519"/>
      <c r="D20" s="519"/>
      <c r="E20" s="519"/>
      <c r="F20" s="519"/>
      <c r="G20" s="519"/>
      <c r="H20" s="520"/>
      <c r="I20" s="439" t="s">
        <v>555</v>
      </c>
      <c r="J20" s="440">
        <v>0.63194444444444442</v>
      </c>
      <c r="K20" s="301"/>
      <c r="L20" s="98"/>
      <c r="O20" s="545"/>
      <c r="P20" s="546"/>
      <c r="Q20" s="546"/>
      <c r="R20" s="546"/>
      <c r="S20" s="546"/>
      <c r="T20" s="546"/>
      <c r="U20" s="546"/>
      <c r="V20" s="546"/>
      <c r="W20" s="547"/>
    </row>
    <row r="21" spans="1:23" ht="12" customHeight="1">
      <c r="A21" s="518" t="s">
        <v>549</v>
      </c>
      <c r="B21" s="519"/>
      <c r="C21" s="519"/>
      <c r="D21" s="519"/>
      <c r="E21" s="519"/>
      <c r="F21" s="519"/>
      <c r="G21" s="519"/>
      <c r="H21" s="520"/>
      <c r="I21" s="439" t="s">
        <v>555</v>
      </c>
      <c r="J21" s="440">
        <v>0.63611111111111107</v>
      </c>
      <c r="K21" s="301"/>
      <c r="L21" s="98"/>
      <c r="O21" s="545"/>
      <c r="P21" s="546"/>
      <c r="Q21" s="546"/>
      <c r="R21" s="546"/>
      <c r="S21" s="546"/>
      <c r="T21" s="546"/>
      <c r="U21" s="546"/>
      <c r="V21" s="546"/>
      <c r="W21" s="547"/>
    </row>
    <row r="22" spans="1:23" ht="12" customHeight="1">
      <c r="A22" s="518" t="s">
        <v>547</v>
      </c>
      <c r="B22" s="519"/>
      <c r="C22" s="519"/>
      <c r="D22" s="519"/>
      <c r="E22" s="519"/>
      <c r="F22" s="519"/>
      <c r="G22" s="519"/>
      <c r="H22" s="520"/>
      <c r="I22" s="439" t="s">
        <v>555</v>
      </c>
      <c r="J22" s="336">
        <v>1520</v>
      </c>
      <c r="K22" s="301"/>
      <c r="L22" s="98"/>
      <c r="O22" s="545"/>
      <c r="P22" s="546"/>
      <c r="Q22" s="546"/>
      <c r="R22" s="546"/>
      <c r="S22" s="546"/>
      <c r="T22" s="546"/>
      <c r="U22" s="546"/>
      <c r="V22" s="546"/>
      <c r="W22" s="547"/>
    </row>
    <row r="23" spans="1:23" ht="12" customHeight="1">
      <c r="A23" s="518" t="s">
        <v>550</v>
      </c>
      <c r="B23" s="519"/>
      <c r="C23" s="519"/>
      <c r="D23" s="519"/>
      <c r="E23" s="519"/>
      <c r="F23" s="519"/>
      <c r="G23" s="519"/>
      <c r="H23" s="520"/>
      <c r="I23" s="439" t="s">
        <v>555</v>
      </c>
      <c r="J23" s="336">
        <v>1617</v>
      </c>
      <c r="K23" s="301"/>
      <c r="L23" s="98"/>
      <c r="O23" s="548"/>
      <c r="P23" s="549"/>
      <c r="Q23" s="549"/>
      <c r="R23" s="549"/>
      <c r="S23" s="549"/>
      <c r="T23" s="549"/>
      <c r="U23" s="549"/>
      <c r="V23" s="549"/>
      <c r="W23" s="550"/>
    </row>
    <row r="24" spans="1:23" ht="12" customHeight="1">
      <c r="A24" s="518" t="s">
        <v>441</v>
      </c>
      <c r="B24" s="519"/>
      <c r="C24" s="519"/>
      <c r="D24" s="519"/>
      <c r="E24" s="519"/>
      <c r="F24" s="519"/>
      <c r="G24" s="519"/>
      <c r="H24" s="520"/>
      <c r="I24" s="439" t="s">
        <v>555</v>
      </c>
      <c r="J24" s="336">
        <v>1638</v>
      </c>
      <c r="K24" s="301"/>
      <c r="L24" s="98"/>
      <c r="O24" s="536" t="s">
        <v>459</v>
      </c>
      <c r="P24" s="537"/>
      <c r="Q24" s="537"/>
      <c r="R24" s="537"/>
      <c r="S24" s="537"/>
      <c r="T24" s="537"/>
      <c r="U24" s="537"/>
      <c r="V24" s="537"/>
      <c r="W24" s="538"/>
    </row>
    <row r="25" spans="1:23" ht="12" customHeight="1">
      <c r="A25" s="518" t="s">
        <v>442</v>
      </c>
      <c r="B25" s="519"/>
      <c r="C25" s="519"/>
      <c r="D25" s="519"/>
      <c r="E25" s="519"/>
      <c r="F25" s="519"/>
      <c r="G25" s="519"/>
      <c r="H25" s="520"/>
      <c r="I25" s="439" t="s">
        <v>555</v>
      </c>
      <c r="J25" s="336">
        <v>1642</v>
      </c>
      <c r="K25" s="301"/>
      <c r="L25" s="98"/>
      <c r="O25" s="539" t="s">
        <v>460</v>
      </c>
      <c r="P25" s="540"/>
      <c r="Q25" s="540"/>
      <c r="R25" s="540"/>
      <c r="S25" s="540"/>
      <c r="T25" s="540"/>
      <c r="U25" s="540"/>
      <c r="V25" s="540"/>
      <c r="W25" s="541"/>
    </row>
    <row r="26" spans="1:23" ht="12" customHeight="1">
      <c r="A26" s="518" t="s">
        <v>545</v>
      </c>
      <c r="B26" s="519"/>
      <c r="C26" s="519"/>
      <c r="D26" s="519"/>
      <c r="E26" s="519"/>
      <c r="F26" s="519"/>
      <c r="G26" s="519"/>
      <c r="H26" s="520"/>
      <c r="I26" s="439" t="s">
        <v>555</v>
      </c>
      <c r="J26" s="336">
        <v>1705</v>
      </c>
      <c r="K26" s="301"/>
      <c r="L26" s="98"/>
      <c r="O26" s="539" t="s">
        <v>461</v>
      </c>
      <c r="P26" s="540"/>
      <c r="Q26" s="540"/>
      <c r="R26" s="540"/>
      <c r="S26" s="540"/>
      <c r="T26" s="540"/>
      <c r="U26" s="540"/>
      <c r="V26" s="540"/>
      <c r="W26" s="541"/>
    </row>
    <row r="27" spans="1:23" ht="12" customHeight="1">
      <c r="A27" s="518" t="s">
        <v>547</v>
      </c>
      <c r="B27" s="519"/>
      <c r="C27" s="519"/>
      <c r="D27" s="519"/>
      <c r="E27" s="519"/>
      <c r="F27" s="519"/>
      <c r="G27" s="519"/>
      <c r="H27" s="520"/>
      <c r="I27" s="439">
        <v>45686</v>
      </c>
      <c r="J27" s="336">
        <v>630</v>
      </c>
      <c r="K27" s="301"/>
      <c r="L27" s="322"/>
      <c r="O27" s="539" t="s">
        <v>467</v>
      </c>
      <c r="P27" s="540"/>
      <c r="Q27" s="540"/>
      <c r="R27" s="540"/>
      <c r="S27" s="540"/>
      <c r="T27" s="540"/>
      <c r="U27" s="540"/>
      <c r="V27" s="540"/>
      <c r="W27" s="541"/>
    </row>
    <row r="28" spans="1:23" ht="12" customHeight="1">
      <c r="A28" s="518" t="s">
        <v>551</v>
      </c>
      <c r="B28" s="519"/>
      <c r="C28" s="519"/>
      <c r="D28" s="519"/>
      <c r="E28" s="519"/>
      <c r="F28" s="519"/>
      <c r="G28" s="519"/>
      <c r="H28" s="520"/>
      <c r="I28" s="439" t="s">
        <v>555</v>
      </c>
      <c r="J28" s="336">
        <v>800</v>
      </c>
      <c r="K28" s="301"/>
      <c r="L28" s="98"/>
      <c r="O28" s="539" t="s">
        <v>462</v>
      </c>
      <c r="P28" s="540"/>
      <c r="Q28" s="540"/>
      <c r="R28" s="540"/>
      <c r="S28" s="540"/>
      <c r="T28" s="540"/>
      <c r="U28" s="540"/>
      <c r="V28" s="540"/>
      <c r="W28" s="541"/>
    </row>
    <row r="29" spans="1:23" ht="12" customHeight="1">
      <c r="A29" s="518" t="s">
        <v>552</v>
      </c>
      <c r="B29" s="519"/>
      <c r="C29" s="519"/>
      <c r="D29" s="519"/>
      <c r="E29" s="519"/>
      <c r="F29" s="519"/>
      <c r="G29" s="519"/>
      <c r="H29" s="520"/>
      <c r="I29" s="439" t="s">
        <v>555</v>
      </c>
      <c r="J29" s="336">
        <v>805</v>
      </c>
      <c r="K29" s="301"/>
      <c r="L29" s="98"/>
      <c r="O29" s="539" t="s">
        <v>463</v>
      </c>
      <c r="P29" s="540"/>
      <c r="Q29" s="540"/>
      <c r="R29" s="540"/>
      <c r="S29" s="540"/>
      <c r="T29" s="540"/>
      <c r="U29" s="540"/>
      <c r="V29" s="540"/>
      <c r="W29" s="541"/>
    </row>
    <row r="30" spans="1:23" ht="12" customHeight="1">
      <c r="A30" s="518" t="s">
        <v>551</v>
      </c>
      <c r="B30" s="519"/>
      <c r="C30" s="519"/>
      <c r="D30" s="519"/>
      <c r="E30" s="519"/>
      <c r="F30" s="519"/>
      <c r="G30" s="519"/>
      <c r="H30" s="520"/>
      <c r="I30" s="439"/>
      <c r="J30" s="336"/>
      <c r="K30" s="301"/>
      <c r="L30" s="98"/>
      <c r="O30" s="539" t="s">
        <v>475</v>
      </c>
      <c r="P30" s="540"/>
      <c r="Q30" s="540"/>
      <c r="R30" s="540"/>
      <c r="S30" s="540"/>
      <c r="T30" s="540"/>
      <c r="U30" s="540"/>
      <c r="V30" s="540"/>
      <c r="W30" s="541"/>
    </row>
    <row r="31" spans="1:23" ht="12" customHeight="1">
      <c r="A31" s="521" t="s">
        <v>436</v>
      </c>
      <c r="B31" s="522"/>
      <c r="C31" s="522"/>
      <c r="D31" s="522"/>
      <c r="E31" s="522"/>
      <c r="F31" s="522"/>
      <c r="G31" s="522"/>
      <c r="H31" s="523"/>
      <c r="I31" s="439"/>
      <c r="J31" s="336"/>
      <c r="K31" s="301"/>
      <c r="L31" s="98"/>
      <c r="O31" s="539" t="s">
        <v>464</v>
      </c>
      <c r="P31" s="540"/>
      <c r="Q31" s="540"/>
      <c r="R31" s="540"/>
      <c r="S31" s="540"/>
      <c r="T31" s="540"/>
      <c r="U31" s="540"/>
      <c r="V31" s="540"/>
      <c r="W31" s="541"/>
    </row>
    <row r="32" spans="1:23" ht="12" customHeight="1">
      <c r="A32" s="521" t="s">
        <v>443</v>
      </c>
      <c r="B32" s="522"/>
      <c r="C32" s="522"/>
      <c r="D32" s="522"/>
      <c r="E32" s="522"/>
      <c r="F32" s="522"/>
      <c r="G32" s="522"/>
      <c r="H32" s="523"/>
      <c r="I32" s="439"/>
      <c r="J32" s="336"/>
      <c r="K32" s="301"/>
      <c r="L32" s="98"/>
      <c r="O32" s="539" t="s">
        <v>476</v>
      </c>
      <c r="P32" s="540"/>
      <c r="Q32" s="540"/>
      <c r="R32" s="540"/>
      <c r="S32" s="540"/>
      <c r="T32" s="540"/>
      <c r="U32" s="540"/>
      <c r="V32" s="540"/>
      <c r="W32" s="541"/>
    </row>
    <row r="33" spans="1:23" ht="12" customHeight="1">
      <c r="A33" s="521" t="s">
        <v>437</v>
      </c>
      <c r="B33" s="522"/>
      <c r="C33" s="522"/>
      <c r="D33" s="522"/>
      <c r="E33" s="522"/>
      <c r="F33" s="522"/>
      <c r="G33" s="522"/>
      <c r="H33" s="523"/>
      <c r="I33" s="439"/>
      <c r="J33" s="336"/>
      <c r="K33" s="301"/>
      <c r="L33" s="322"/>
      <c r="O33" s="539" t="s">
        <v>477</v>
      </c>
      <c r="P33" s="540"/>
      <c r="Q33" s="540"/>
      <c r="R33" s="540"/>
      <c r="S33" s="540"/>
      <c r="T33" s="540"/>
      <c r="U33" s="540"/>
      <c r="V33" s="540"/>
      <c r="W33" s="541"/>
    </row>
    <row r="34" spans="1:23" ht="12" customHeight="1">
      <c r="A34" s="521" t="s">
        <v>568</v>
      </c>
      <c r="B34" s="522"/>
      <c r="C34" s="522"/>
      <c r="D34" s="522"/>
      <c r="E34" s="522"/>
      <c r="F34" s="522"/>
      <c r="G34" s="522"/>
      <c r="H34" s="523"/>
      <c r="I34" s="439"/>
      <c r="J34" s="336"/>
      <c r="K34" s="301"/>
      <c r="L34" s="322"/>
      <c r="O34" s="539" t="s">
        <v>465</v>
      </c>
      <c r="P34" s="540"/>
      <c r="Q34" s="540"/>
      <c r="R34" s="540"/>
      <c r="S34" s="540"/>
      <c r="T34" s="540"/>
      <c r="U34" s="540"/>
      <c r="V34" s="540"/>
      <c r="W34" s="541"/>
    </row>
    <row r="35" spans="1:23" ht="12" customHeight="1">
      <c r="A35" s="518"/>
      <c r="B35" s="519"/>
      <c r="C35" s="519"/>
      <c r="D35" s="519"/>
      <c r="E35" s="519"/>
      <c r="F35" s="519"/>
      <c r="G35" s="519"/>
      <c r="H35" s="520"/>
      <c r="I35" s="439"/>
      <c r="J35" s="336"/>
      <c r="K35" s="301"/>
      <c r="L35" s="322"/>
      <c r="O35" s="539" t="s">
        <v>466</v>
      </c>
      <c r="P35" s="540"/>
      <c r="Q35" s="540"/>
      <c r="R35" s="540"/>
      <c r="S35" s="540"/>
      <c r="T35" s="540"/>
      <c r="U35" s="540"/>
      <c r="V35" s="540"/>
      <c r="W35" s="541"/>
    </row>
    <row r="36" spans="1:23" ht="12" customHeight="1">
      <c r="A36" s="518"/>
      <c r="B36" s="519"/>
      <c r="C36" s="519"/>
      <c r="D36" s="519"/>
      <c r="E36" s="519"/>
      <c r="F36" s="519"/>
      <c r="G36" s="519"/>
      <c r="H36" s="520"/>
      <c r="I36" s="439"/>
      <c r="J36" s="336"/>
      <c r="K36" s="301"/>
      <c r="L36" s="322"/>
      <c r="O36" s="539" t="s">
        <v>473</v>
      </c>
      <c r="P36" s="540"/>
      <c r="Q36" s="540"/>
      <c r="R36" s="540"/>
      <c r="S36" s="540"/>
      <c r="T36" s="540"/>
      <c r="U36" s="540"/>
      <c r="V36" s="540"/>
      <c r="W36" s="541"/>
    </row>
    <row r="37" spans="1:23" ht="12" customHeight="1">
      <c r="A37" s="518"/>
      <c r="B37" s="519"/>
      <c r="C37" s="519"/>
      <c r="D37" s="519"/>
      <c r="E37" s="519"/>
      <c r="F37" s="519"/>
      <c r="G37" s="519"/>
      <c r="H37" s="520"/>
      <c r="I37" s="439"/>
      <c r="J37" s="336"/>
      <c r="K37" s="301"/>
      <c r="L37" s="322"/>
      <c r="O37" s="539" t="s">
        <v>474</v>
      </c>
      <c r="P37" s="540"/>
      <c r="Q37" s="540"/>
      <c r="R37" s="540"/>
      <c r="S37" s="540"/>
      <c r="T37" s="540"/>
      <c r="U37" s="540"/>
      <c r="V37" s="540"/>
      <c r="W37" s="541"/>
    </row>
    <row r="38" spans="1:23" ht="12" customHeight="1">
      <c r="A38" s="518"/>
      <c r="B38" s="519"/>
      <c r="C38" s="519"/>
      <c r="D38" s="519"/>
      <c r="E38" s="519"/>
      <c r="F38" s="519"/>
      <c r="G38" s="519"/>
      <c r="H38" s="520"/>
      <c r="I38" s="439"/>
      <c r="J38" s="336"/>
      <c r="K38" s="301"/>
      <c r="L38" s="322"/>
      <c r="O38" s="539" t="s">
        <v>478</v>
      </c>
      <c r="P38" s="540"/>
      <c r="Q38" s="540"/>
      <c r="R38" s="540"/>
      <c r="S38" s="540"/>
      <c r="T38" s="540"/>
      <c r="U38" s="540"/>
      <c r="V38" s="540"/>
      <c r="W38" s="541"/>
    </row>
    <row r="39" spans="1:23" ht="12" customHeight="1">
      <c r="A39" s="518"/>
      <c r="B39" s="519"/>
      <c r="C39" s="519"/>
      <c r="D39" s="519"/>
      <c r="E39" s="519"/>
      <c r="F39" s="519"/>
      <c r="G39" s="519"/>
      <c r="H39" s="520"/>
      <c r="I39" s="439"/>
      <c r="J39" s="336"/>
      <c r="K39" s="301"/>
      <c r="L39" s="322"/>
      <c r="O39" s="539" t="s">
        <v>479</v>
      </c>
      <c r="P39" s="540"/>
      <c r="Q39" s="540"/>
      <c r="R39" s="540"/>
      <c r="S39" s="540"/>
      <c r="T39" s="540"/>
      <c r="U39" s="540"/>
      <c r="V39" s="540"/>
      <c r="W39" s="541"/>
    </row>
    <row r="40" spans="1:23" ht="12" customHeight="1">
      <c r="A40" s="518"/>
      <c r="B40" s="519"/>
      <c r="C40" s="519"/>
      <c r="D40" s="519"/>
      <c r="E40" s="519"/>
      <c r="F40" s="519"/>
      <c r="G40" s="519"/>
      <c r="H40" s="520"/>
      <c r="I40" s="439"/>
      <c r="J40" s="336"/>
      <c r="K40" s="301"/>
      <c r="L40" s="322"/>
      <c r="O40" s="539" t="s">
        <v>468</v>
      </c>
      <c r="P40" s="540"/>
      <c r="Q40" s="540"/>
      <c r="R40" s="540"/>
      <c r="S40" s="540"/>
      <c r="T40" s="540"/>
      <c r="U40" s="540"/>
      <c r="V40" s="540"/>
      <c r="W40" s="541"/>
    </row>
    <row r="41" spans="1:23" ht="12" customHeight="1">
      <c r="A41" s="518"/>
      <c r="B41" s="519"/>
      <c r="C41" s="519"/>
      <c r="D41" s="519"/>
      <c r="E41" s="519"/>
      <c r="F41" s="519"/>
      <c r="G41" s="519"/>
      <c r="H41" s="520"/>
      <c r="I41" s="439"/>
      <c r="J41" s="336"/>
      <c r="K41" s="301"/>
      <c r="L41" s="322"/>
      <c r="O41" s="456" t="s">
        <v>571</v>
      </c>
      <c r="P41" s="457"/>
      <c r="Q41" s="457"/>
      <c r="R41" s="457"/>
      <c r="S41" s="457"/>
      <c r="T41" s="457"/>
      <c r="U41" s="457"/>
      <c r="V41" s="457"/>
      <c r="W41" s="468"/>
    </row>
    <row r="42" spans="1:23" ht="12" customHeight="1">
      <c r="A42" s="518"/>
      <c r="B42" s="519"/>
      <c r="C42" s="519"/>
      <c r="D42" s="519"/>
      <c r="E42" s="519"/>
      <c r="F42" s="519"/>
      <c r="G42" s="519"/>
      <c r="H42" s="520"/>
      <c r="I42" s="439"/>
      <c r="J42" s="336"/>
      <c r="K42" s="301"/>
      <c r="L42" s="322"/>
      <c r="O42" s="465" t="s">
        <v>469</v>
      </c>
      <c r="P42" s="466"/>
      <c r="Q42" s="466"/>
      <c r="R42" s="466"/>
      <c r="S42" s="466"/>
      <c r="T42" s="466"/>
      <c r="U42" s="466"/>
      <c r="V42" s="466"/>
      <c r="W42" s="468"/>
    </row>
    <row r="43" spans="1:23" ht="12" customHeight="1">
      <c r="A43" s="518"/>
      <c r="B43" s="519"/>
      <c r="C43" s="519"/>
      <c r="D43" s="519"/>
      <c r="E43" s="519"/>
      <c r="F43" s="519"/>
      <c r="G43" s="519"/>
      <c r="H43" s="520"/>
      <c r="I43" s="439"/>
      <c r="J43" s="336"/>
      <c r="K43" s="301"/>
      <c r="L43" s="322"/>
      <c r="O43" s="465" t="s">
        <v>588</v>
      </c>
      <c r="P43" s="466"/>
      <c r="Q43" s="466"/>
      <c r="R43" s="466"/>
      <c r="S43" s="466"/>
      <c r="T43" s="466"/>
      <c r="U43" s="466"/>
      <c r="V43" s="466"/>
      <c r="W43" s="468"/>
    </row>
    <row r="44" spans="1:23" ht="12" customHeight="1">
      <c r="A44" s="518"/>
      <c r="B44" s="519"/>
      <c r="C44" s="519"/>
      <c r="D44" s="519"/>
      <c r="E44" s="519"/>
      <c r="F44" s="519"/>
      <c r="G44" s="519"/>
      <c r="H44" s="520"/>
      <c r="I44" s="439"/>
      <c r="J44" s="336"/>
      <c r="K44" s="301"/>
      <c r="L44" s="322"/>
      <c r="O44" s="465" t="s">
        <v>470</v>
      </c>
      <c r="P44" s="466"/>
      <c r="Q44" s="466"/>
      <c r="R44" s="466"/>
      <c r="S44" s="466"/>
      <c r="T44" s="466"/>
      <c r="U44" s="466"/>
      <c r="V44" s="466"/>
      <c r="W44" s="468"/>
    </row>
    <row r="45" spans="1:23" ht="12" customHeight="1">
      <c r="A45" s="518"/>
      <c r="B45" s="519"/>
      <c r="C45" s="519"/>
      <c r="D45" s="519"/>
      <c r="E45" s="519"/>
      <c r="F45" s="519"/>
      <c r="G45" s="519"/>
      <c r="H45" s="520"/>
      <c r="I45" s="439"/>
      <c r="J45" s="336"/>
      <c r="K45" s="301"/>
      <c r="L45" s="322"/>
      <c r="O45" s="465" t="s">
        <v>472</v>
      </c>
      <c r="P45" s="466"/>
      <c r="Q45" s="466"/>
      <c r="R45" s="466"/>
      <c r="S45" s="466"/>
      <c r="T45" s="466"/>
      <c r="U45" s="466"/>
      <c r="V45" s="466"/>
      <c r="W45" s="468"/>
    </row>
    <row r="46" spans="1:23" ht="12" customHeight="1" thickBot="1">
      <c r="A46" s="518"/>
      <c r="B46" s="519"/>
      <c r="C46" s="519"/>
      <c r="D46" s="519"/>
      <c r="E46" s="519"/>
      <c r="F46" s="519"/>
      <c r="G46" s="519"/>
      <c r="H46" s="520"/>
      <c r="I46" s="439"/>
      <c r="J46" s="336"/>
      <c r="K46" s="301"/>
      <c r="L46" s="322"/>
      <c r="O46" s="469" t="s">
        <v>471</v>
      </c>
      <c r="P46" s="470"/>
      <c r="Q46" s="470"/>
      <c r="R46" s="470"/>
      <c r="S46" s="470"/>
      <c r="T46" s="470"/>
      <c r="U46" s="470"/>
      <c r="V46" s="470"/>
      <c r="W46" s="471"/>
    </row>
    <row r="47" spans="1:23" ht="12" customHeight="1">
      <c r="A47" s="518"/>
      <c r="B47" s="519"/>
      <c r="C47" s="519"/>
      <c r="D47" s="519"/>
      <c r="E47" s="519"/>
      <c r="F47" s="519"/>
      <c r="G47" s="519"/>
      <c r="H47" s="520"/>
      <c r="I47" s="439"/>
      <c r="J47" s="336"/>
      <c r="K47" s="301"/>
      <c r="L47" s="322"/>
    </row>
    <row r="48" spans="1:23" ht="12" customHeight="1">
      <c r="A48" s="518"/>
      <c r="B48" s="519"/>
      <c r="C48" s="519"/>
      <c r="D48" s="519"/>
      <c r="E48" s="519"/>
      <c r="F48" s="519"/>
      <c r="G48" s="519"/>
      <c r="H48" s="520"/>
      <c r="I48" s="439"/>
      <c r="J48" s="336"/>
      <c r="K48" s="301"/>
      <c r="L48" s="322"/>
    </row>
    <row r="49" spans="1:12" ht="12" customHeight="1">
      <c r="A49" s="518"/>
      <c r="B49" s="519"/>
      <c r="C49" s="519"/>
      <c r="D49" s="519"/>
      <c r="E49" s="519"/>
      <c r="F49" s="519"/>
      <c r="G49" s="519"/>
      <c r="H49" s="520"/>
      <c r="I49" s="439"/>
      <c r="J49" s="336"/>
      <c r="K49" s="301"/>
      <c r="L49" s="322"/>
    </row>
    <row r="50" spans="1:12" ht="12" customHeight="1">
      <c r="A50" s="518"/>
      <c r="B50" s="519"/>
      <c r="C50" s="519"/>
      <c r="D50" s="519"/>
      <c r="E50" s="519"/>
      <c r="F50" s="519"/>
      <c r="G50" s="519"/>
      <c r="H50" s="520"/>
      <c r="I50" s="439"/>
      <c r="J50" s="336"/>
      <c r="K50" s="301"/>
      <c r="L50" s="322"/>
    </row>
    <row r="51" spans="1:12" ht="12" customHeight="1">
      <c r="A51" s="442"/>
      <c r="B51" s="441"/>
      <c r="C51" s="441"/>
      <c r="D51" s="441"/>
      <c r="E51" s="441"/>
      <c r="F51" s="441"/>
      <c r="G51" s="441"/>
      <c r="H51" s="441"/>
      <c r="I51" s="348"/>
      <c r="J51" s="349"/>
      <c r="K51" s="350"/>
      <c r="L51" s="351"/>
    </row>
    <row r="52" spans="1:12" ht="12" customHeight="1">
      <c r="A52" s="442"/>
      <c r="B52" s="441"/>
      <c r="C52" s="441"/>
      <c r="D52" s="441"/>
      <c r="E52" s="441"/>
      <c r="F52" s="441"/>
      <c r="G52" s="441"/>
      <c r="H52" s="441"/>
      <c r="I52" s="348"/>
      <c r="J52" s="349"/>
      <c r="K52" s="350"/>
      <c r="L52" s="351"/>
    </row>
    <row r="53" spans="1:12" ht="12" customHeight="1">
      <c r="A53" s="442"/>
      <c r="B53" s="441"/>
      <c r="C53" s="441"/>
      <c r="D53" s="441"/>
      <c r="E53" s="441"/>
      <c r="F53" s="441"/>
      <c r="G53" s="551" t="s">
        <v>444</v>
      </c>
      <c r="H53" s="551"/>
      <c r="I53" s="325" t="s">
        <v>434</v>
      </c>
      <c r="J53" s="443" t="s">
        <v>435</v>
      </c>
      <c r="K53" s="350"/>
      <c r="L53" s="351"/>
    </row>
    <row r="54" spans="1:12" ht="12" customHeight="1">
      <c r="A54" s="442"/>
      <c r="B54" s="441"/>
      <c r="C54" s="441"/>
      <c r="D54" s="441"/>
      <c r="E54" s="441"/>
      <c r="F54" s="441"/>
      <c r="G54" s="551"/>
      <c r="H54" s="551"/>
      <c r="I54" s="337">
        <v>3.05</v>
      </c>
      <c r="J54" s="444">
        <v>4.3</v>
      </c>
      <c r="K54" s="350"/>
      <c r="L54" s="351"/>
    </row>
    <row r="55" spans="1:12" ht="12" customHeight="1">
      <c r="A55" s="442"/>
      <c r="B55" s="441"/>
      <c r="C55" s="441"/>
      <c r="D55" s="441"/>
      <c r="E55" s="441"/>
      <c r="F55" s="441"/>
      <c r="G55" s="551" t="s">
        <v>445</v>
      </c>
      <c r="H55" s="551"/>
      <c r="I55" s="325" t="s">
        <v>434</v>
      </c>
      <c r="J55" s="443" t="s">
        <v>435</v>
      </c>
      <c r="K55" s="350"/>
      <c r="L55" s="351"/>
    </row>
    <row r="56" spans="1:12" ht="12" customHeight="1">
      <c r="A56" s="442"/>
      <c r="B56" s="441"/>
      <c r="C56" s="441"/>
      <c r="D56" s="441"/>
      <c r="E56" s="441"/>
      <c r="F56" s="441"/>
      <c r="G56" s="551"/>
      <c r="H56" s="551"/>
      <c r="I56" s="337">
        <v>3.05</v>
      </c>
      <c r="J56" s="444">
        <v>4.3</v>
      </c>
      <c r="K56" s="350"/>
      <c r="L56" s="351"/>
    </row>
    <row r="57" spans="1:12" ht="12" customHeight="1">
      <c r="A57" s="346"/>
      <c r="B57" s="347"/>
      <c r="C57" s="347"/>
      <c r="D57" s="347"/>
      <c r="E57" s="347"/>
      <c r="F57" s="347"/>
      <c r="G57" s="441"/>
      <c r="H57" s="441"/>
      <c r="I57" s="348"/>
      <c r="J57" s="349"/>
      <c r="K57" s="350"/>
      <c r="L57" s="351"/>
    </row>
    <row r="58" spans="1:12" ht="12" customHeight="1">
      <c r="A58" s="445"/>
      <c r="B58" s="438"/>
      <c r="C58" s="438"/>
      <c r="D58" s="438"/>
      <c r="E58" s="438"/>
      <c r="F58" s="438"/>
      <c r="G58" s="438"/>
      <c r="H58" s="438"/>
      <c r="I58" s="438"/>
      <c r="J58" s="329"/>
      <c r="K58" s="350"/>
      <c r="L58" s="351"/>
    </row>
    <row r="59" spans="1:12" ht="12" customHeight="1">
      <c r="A59" s="445"/>
      <c r="B59" s="438"/>
      <c r="C59" s="438"/>
      <c r="D59" s="438"/>
      <c r="E59" s="438"/>
      <c r="F59" s="438"/>
      <c r="G59" s="438"/>
      <c r="H59" s="438"/>
      <c r="I59" s="438"/>
      <c r="J59" s="329"/>
      <c r="K59" s="350"/>
      <c r="L59" s="351"/>
    </row>
    <row r="60" spans="1:12" ht="12" customHeight="1">
      <c r="A60" s="445"/>
      <c r="B60" s="438"/>
      <c r="C60" s="438"/>
      <c r="D60" s="438"/>
      <c r="E60" s="438"/>
      <c r="F60" s="438"/>
      <c r="G60" s="438"/>
      <c r="H60" s="438"/>
      <c r="I60" s="438"/>
      <c r="J60" s="329"/>
      <c r="K60" s="69"/>
      <c r="L60" s="67"/>
    </row>
    <row r="61" spans="1:12" ht="12" customHeight="1">
      <c r="A61" s="445"/>
      <c r="B61" s="438"/>
      <c r="C61" s="438"/>
      <c r="D61" s="438"/>
      <c r="E61" s="438"/>
      <c r="F61" s="438"/>
      <c r="G61" s="438"/>
      <c r="H61" s="438"/>
      <c r="I61" s="438"/>
      <c r="J61" s="329"/>
      <c r="K61" s="95"/>
      <c r="L61" s="67"/>
    </row>
    <row r="62" spans="1:12" ht="12" customHeight="1">
      <c r="A62" s="437" t="s">
        <v>135</v>
      </c>
      <c r="B62" s="446"/>
      <c r="C62" s="438"/>
      <c r="D62" s="446"/>
      <c r="E62" s="446"/>
      <c r="F62" s="446"/>
      <c r="G62" s="405" t="s">
        <v>136</v>
      </c>
      <c r="H62" s="405"/>
      <c r="I62" s="447"/>
      <c r="J62" s="329"/>
      <c r="K62" s="69"/>
      <c r="L62" s="67"/>
    </row>
    <row r="63" spans="1:12" ht="12" customHeight="1">
      <c r="A63" s="437"/>
      <c r="B63" s="446"/>
      <c r="C63" s="438"/>
      <c r="D63" s="446"/>
      <c r="E63" s="446"/>
      <c r="F63" s="446"/>
      <c r="G63" s="405"/>
      <c r="H63" s="405"/>
      <c r="I63" s="447"/>
      <c r="J63" s="329"/>
      <c r="K63" s="69"/>
      <c r="L63" s="67"/>
    </row>
    <row r="64" spans="1:12" ht="12" customHeight="1">
      <c r="A64" s="437"/>
      <c r="B64" s="446"/>
      <c r="C64" s="438"/>
      <c r="D64" s="446"/>
      <c r="E64" s="446"/>
      <c r="F64" s="446"/>
      <c r="G64" s="405"/>
      <c r="H64" s="405"/>
      <c r="I64" s="447"/>
      <c r="J64" s="329"/>
      <c r="K64" s="69"/>
      <c r="L64" s="67"/>
    </row>
    <row r="65" spans="1:12" ht="12" customHeight="1">
      <c r="A65" s="330"/>
      <c r="B65" s="446"/>
      <c r="C65" s="446"/>
      <c r="D65" s="446"/>
      <c r="E65" s="446"/>
      <c r="F65" s="446"/>
      <c r="G65" s="446"/>
      <c r="H65" s="446"/>
      <c r="I65" s="446"/>
      <c r="J65" s="329"/>
      <c r="K65" s="69"/>
      <c r="L65" s="67"/>
    </row>
    <row r="66" spans="1:12" ht="12" customHeight="1">
      <c r="A66" s="330"/>
      <c r="B66" s="446"/>
      <c r="C66" s="446"/>
      <c r="D66" s="446"/>
      <c r="E66" s="446"/>
      <c r="F66" s="446"/>
      <c r="G66" s="446"/>
      <c r="H66" s="446"/>
      <c r="I66" s="446"/>
      <c r="J66" s="329"/>
      <c r="K66" s="69"/>
      <c r="L66" s="67"/>
    </row>
    <row r="67" spans="1:12" ht="12" customHeight="1" thickBot="1">
      <c r="A67" s="331" t="s">
        <v>137</v>
      </c>
      <c r="B67" s="332"/>
      <c r="C67" s="332"/>
      <c r="D67" s="332"/>
      <c r="E67" s="332"/>
      <c r="F67" s="332"/>
      <c r="G67" s="333" t="s">
        <v>138</v>
      </c>
      <c r="H67" s="333"/>
      <c r="I67" s="334"/>
      <c r="J67" s="335"/>
      <c r="K67" s="69"/>
      <c r="L67" s="67"/>
    </row>
  </sheetData>
  <sheetProtection formatCells="0" insertColumns="0" insertRows="0" deleteColumns="0" deleteRows="0"/>
  <protectedRanges>
    <protectedRange sqref="A7:F11 A19:F19 A14:F15" name="Plage1"/>
  </protectedRanges>
  <mergeCells count="72">
    <mergeCell ref="G55:H56"/>
    <mergeCell ref="C1:H3"/>
    <mergeCell ref="A4:A5"/>
    <mergeCell ref="B4:B5"/>
    <mergeCell ref="D4:D5"/>
    <mergeCell ref="G4:G5"/>
    <mergeCell ref="H4:J5"/>
    <mergeCell ref="J3:L3"/>
    <mergeCell ref="A36:H36"/>
    <mergeCell ref="A35:H35"/>
    <mergeCell ref="A34:H34"/>
    <mergeCell ref="A33:H33"/>
    <mergeCell ref="G53:H54"/>
    <mergeCell ref="A41:H41"/>
    <mergeCell ref="A40:H40"/>
    <mergeCell ref="A39:H39"/>
    <mergeCell ref="A38:H38"/>
    <mergeCell ref="A37:H37"/>
    <mergeCell ref="O38:W38"/>
    <mergeCell ref="O39:W39"/>
    <mergeCell ref="O40:W40"/>
    <mergeCell ref="O28:W28"/>
    <mergeCell ref="O30:W30"/>
    <mergeCell ref="O29:W29"/>
    <mergeCell ref="O31:W31"/>
    <mergeCell ref="O37:W37"/>
    <mergeCell ref="O32:W32"/>
    <mergeCell ref="O33:W33"/>
    <mergeCell ref="O34:W34"/>
    <mergeCell ref="O35:W35"/>
    <mergeCell ref="O36:W36"/>
    <mergeCell ref="O1:W2"/>
    <mergeCell ref="O24:W24"/>
    <mergeCell ref="O25:W25"/>
    <mergeCell ref="O26:W26"/>
    <mergeCell ref="O27:W27"/>
    <mergeCell ref="O3:W23"/>
    <mergeCell ref="A50:H50"/>
    <mergeCell ref="A8:H8"/>
    <mergeCell ref="A7:H7"/>
    <mergeCell ref="A9:H9"/>
    <mergeCell ref="A10:H10"/>
    <mergeCell ref="A19:H19"/>
    <mergeCell ref="A18:H18"/>
    <mergeCell ref="A17:H17"/>
    <mergeCell ref="A16:H16"/>
    <mergeCell ref="A15:H15"/>
    <mergeCell ref="A14:H14"/>
    <mergeCell ref="A13:H13"/>
    <mergeCell ref="A12:H12"/>
    <mergeCell ref="A11:H11"/>
    <mergeCell ref="A43:H43"/>
    <mergeCell ref="A42:H42"/>
    <mergeCell ref="A49:H49"/>
    <mergeCell ref="A48:H48"/>
    <mergeCell ref="A47:H47"/>
    <mergeCell ref="A46:H46"/>
    <mergeCell ref="A44:H44"/>
    <mergeCell ref="A45:H45"/>
    <mergeCell ref="A32:H32"/>
    <mergeCell ref="A31:H31"/>
    <mergeCell ref="A30:H30"/>
    <mergeCell ref="A29:H29"/>
    <mergeCell ref="A28:H28"/>
    <mergeCell ref="A22:H22"/>
    <mergeCell ref="A21:H21"/>
    <mergeCell ref="A20:H20"/>
    <mergeCell ref="A27:H27"/>
    <mergeCell ref="A26:H26"/>
    <mergeCell ref="A25:H25"/>
    <mergeCell ref="A24:H24"/>
    <mergeCell ref="A23:H23"/>
  </mergeCells>
  <dataValidations xWindow="888" yWindow="575" count="1">
    <dataValidation allowBlank="1" showInputMessage="1" showErrorMessage="1" prompt="Mettre l'heure en format direct ( ex 1250)" sqref="J7:J59" xr:uid="{9463180B-2E41-47D7-98C4-AB272B814579}"/>
  </dataValidations>
  <printOptions horizontalCentered="1" verticalCentered="1"/>
  <pageMargins left="0" right="0" top="0" bottom="0" header="0" footer="0"/>
  <pageSetup paperSize="9" fitToHeight="0" orientation="landscape"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rgb="FF00B050"/>
  </sheetPr>
  <dimension ref="A1:AJ42"/>
  <sheetViews>
    <sheetView workbookViewId="0">
      <selection activeCell="P4" sqref="P4:T4"/>
    </sheetView>
  </sheetViews>
  <sheetFormatPr baseColWidth="10" defaultColWidth="9" defaultRowHeight="12.75"/>
  <cols>
    <col min="1" max="20" width="4.85546875" style="1" customWidth="1"/>
    <col min="21" max="21" width="4.28515625" style="1" customWidth="1"/>
    <col min="23" max="23" width="4.85546875" customWidth="1"/>
    <col min="24" max="24" width="11.28515625" customWidth="1"/>
    <col min="25" max="25" width="12.42578125" customWidth="1"/>
    <col min="26" max="26" width="13.42578125" customWidth="1"/>
    <col min="27" max="27" width="14.7109375" customWidth="1"/>
    <col min="28" max="28" width="14" customWidth="1"/>
    <col min="29" max="29" width="11.42578125" customWidth="1"/>
    <col min="30" max="30" width="20.42578125" customWidth="1"/>
    <col min="31" max="34" width="4.85546875" customWidth="1"/>
  </cols>
  <sheetData>
    <row r="1" spans="1:32" ht="21" customHeight="1">
      <c r="A1" s="358"/>
      <c r="B1" s="297"/>
      <c r="C1" s="297"/>
      <c r="D1" s="297"/>
      <c r="E1" s="297"/>
      <c r="F1" s="589" t="s">
        <v>361</v>
      </c>
      <c r="G1" s="589"/>
      <c r="H1" s="589"/>
      <c r="I1" s="589"/>
      <c r="J1" s="589"/>
      <c r="K1" s="589"/>
      <c r="L1" s="589"/>
      <c r="M1" s="589"/>
      <c r="N1" s="589"/>
      <c r="O1" s="590"/>
      <c r="P1" s="593"/>
      <c r="Q1" s="594"/>
      <c r="R1" s="596"/>
      <c r="S1" s="593" t="s">
        <v>2</v>
      </c>
      <c r="T1" s="594"/>
      <c r="U1" s="595"/>
      <c r="X1" s="530" t="s">
        <v>450</v>
      </c>
      <c r="Y1" s="531"/>
      <c r="Z1" s="531"/>
      <c r="AA1" s="531"/>
      <c r="AB1" s="531"/>
      <c r="AC1" s="531"/>
      <c r="AD1" s="531"/>
      <c r="AE1" s="531"/>
      <c r="AF1" s="532"/>
    </row>
    <row r="2" spans="1:32" ht="21" customHeight="1" thickBot="1">
      <c r="A2" s="10"/>
      <c r="B2" s="11"/>
      <c r="C2" s="11"/>
      <c r="D2" s="11"/>
      <c r="E2" s="11"/>
      <c r="F2" s="591"/>
      <c r="G2" s="591"/>
      <c r="H2" s="591"/>
      <c r="I2" s="591"/>
      <c r="J2" s="591"/>
      <c r="K2" s="591"/>
      <c r="L2" s="591"/>
      <c r="M2" s="591"/>
      <c r="N2" s="591"/>
      <c r="O2" s="592"/>
      <c r="P2" s="585" t="s">
        <v>514</v>
      </c>
      <c r="Q2" s="586"/>
      <c r="R2" s="587"/>
      <c r="S2" s="486" t="s">
        <v>572</v>
      </c>
      <c r="T2" s="487"/>
      <c r="U2" s="488"/>
      <c r="X2" s="533"/>
      <c r="Y2" s="534"/>
      <c r="Z2" s="534"/>
      <c r="AA2" s="534"/>
      <c r="AB2" s="534"/>
      <c r="AC2" s="534"/>
      <c r="AD2" s="534"/>
      <c r="AE2" s="534"/>
      <c r="AF2" s="535"/>
    </row>
    <row r="3" spans="1:32" ht="15.95" customHeight="1">
      <c r="A3" s="293"/>
      <c r="B3" s="359"/>
      <c r="C3" s="359"/>
      <c r="D3" s="359"/>
      <c r="E3" s="359"/>
      <c r="F3" s="359"/>
      <c r="G3" s="359"/>
      <c r="H3" s="359"/>
      <c r="I3" s="359"/>
      <c r="J3" s="360"/>
      <c r="K3" s="360"/>
      <c r="L3" s="360"/>
      <c r="M3" s="360"/>
      <c r="N3" s="360"/>
      <c r="O3" s="361"/>
      <c r="P3" s="362"/>
      <c r="Q3" s="363"/>
      <c r="R3" s="363"/>
      <c r="S3" s="363"/>
      <c r="T3" s="363"/>
      <c r="U3" s="21"/>
      <c r="X3" s="566" t="s">
        <v>554</v>
      </c>
      <c r="Y3" s="567"/>
      <c r="Z3" s="567"/>
      <c r="AA3" s="567"/>
      <c r="AB3" s="567"/>
      <c r="AC3" s="567"/>
      <c r="AD3" s="567"/>
      <c r="AE3" s="567"/>
      <c r="AF3" s="568"/>
    </row>
    <row r="4" spans="1:32" ht="15.95" customHeight="1">
      <c r="A4" s="315" t="s">
        <v>4</v>
      </c>
      <c r="B4" s="606"/>
      <c r="C4" s="588"/>
      <c r="D4" s="588"/>
      <c r="E4" s="588"/>
      <c r="F4" s="588"/>
      <c r="G4" s="588"/>
      <c r="H4" s="588"/>
      <c r="I4" s="588"/>
      <c r="J4" s="588"/>
      <c r="K4" s="364"/>
      <c r="L4" s="364"/>
      <c r="M4" s="581" t="s">
        <v>5</v>
      </c>
      <c r="N4" s="581"/>
      <c r="O4" s="581"/>
      <c r="P4" s="605" t="str">
        <f>IF('Data Entry'!B8="","",'Data Entry'!B8)</f>
        <v/>
      </c>
      <c r="Q4" s="605"/>
      <c r="R4" s="605"/>
      <c r="S4" s="605"/>
      <c r="T4" s="605"/>
      <c r="U4" s="24"/>
      <c r="X4" s="569"/>
      <c r="Y4" s="570"/>
      <c r="Z4" s="570"/>
      <c r="AA4" s="570"/>
      <c r="AB4" s="570"/>
      <c r="AC4" s="570"/>
      <c r="AD4" s="570"/>
      <c r="AE4" s="570"/>
      <c r="AF4" s="571"/>
    </row>
    <row r="5" spans="1:32" ht="15.95" customHeight="1">
      <c r="A5" s="294"/>
      <c r="B5" s="588" t="str">
        <f>IF('Data Entry'!B19="","",'Data Entry'!B19)</f>
        <v/>
      </c>
      <c r="C5" s="588"/>
      <c r="D5" s="588"/>
      <c r="E5" s="588"/>
      <c r="F5" s="588"/>
      <c r="G5" s="588"/>
      <c r="H5" s="588"/>
      <c r="I5" s="588"/>
      <c r="J5" s="588"/>
      <c r="K5" s="364"/>
      <c r="L5" s="364"/>
      <c r="M5" s="581" t="s">
        <v>7</v>
      </c>
      <c r="N5" s="581"/>
      <c r="O5" s="581"/>
      <c r="P5" s="597"/>
      <c r="Q5" s="597"/>
      <c r="R5" s="597"/>
      <c r="S5" s="597"/>
      <c r="T5" s="597"/>
      <c r="U5" s="24"/>
      <c r="X5" s="569"/>
      <c r="Y5" s="570"/>
      <c r="Z5" s="570"/>
      <c r="AA5" s="570"/>
      <c r="AB5" s="570"/>
      <c r="AC5" s="570"/>
      <c r="AD5" s="570"/>
      <c r="AE5" s="570"/>
      <c r="AF5" s="571"/>
    </row>
    <row r="6" spans="1:32" ht="15.95" customHeight="1">
      <c r="A6" s="294"/>
      <c r="B6" s="588" t="str">
        <f>IF('Data Entry'!B29="","",'Data Entry'!B29)</f>
        <v/>
      </c>
      <c r="C6" s="588"/>
      <c r="D6" s="588"/>
      <c r="E6" s="588"/>
      <c r="F6" s="588"/>
      <c r="G6" s="588"/>
      <c r="H6" s="588"/>
      <c r="I6" s="588"/>
      <c r="J6" s="588"/>
      <c r="K6" s="364"/>
      <c r="L6" s="364"/>
      <c r="M6" s="581" t="s">
        <v>8</v>
      </c>
      <c r="N6" s="581"/>
      <c r="O6" s="581"/>
      <c r="P6" s="597" t="str">
        <f>IF('Data Entry'!B17="","",'Data Entry'!B17)</f>
        <v/>
      </c>
      <c r="Q6" s="597"/>
      <c r="R6" s="597"/>
      <c r="S6" s="597"/>
      <c r="T6" s="597"/>
      <c r="U6" s="24"/>
      <c r="W6" s="26"/>
      <c r="X6" s="569"/>
      <c r="Y6" s="570"/>
      <c r="Z6" s="570"/>
      <c r="AA6" s="570"/>
      <c r="AB6" s="570"/>
      <c r="AC6" s="570"/>
      <c r="AD6" s="570"/>
      <c r="AE6" s="570"/>
      <c r="AF6" s="571"/>
    </row>
    <row r="7" spans="1:32" ht="15.95" customHeight="1">
      <c r="A7" s="294"/>
      <c r="B7" s="588" t="str">
        <f>IF('Data Entry'!B33="","",'Data Entry'!B33)</f>
        <v/>
      </c>
      <c r="C7" s="588"/>
      <c r="D7" s="588"/>
      <c r="E7" s="588"/>
      <c r="F7" s="588"/>
      <c r="G7" s="588"/>
      <c r="H7" s="588"/>
      <c r="I7" s="588"/>
      <c r="J7" s="588"/>
      <c r="K7" s="364"/>
      <c r="L7" s="364"/>
      <c r="M7" s="581" t="s">
        <v>515</v>
      </c>
      <c r="N7" s="581"/>
      <c r="O7" s="581"/>
      <c r="P7" s="582" t="str">
        <f>IF('Data Entry'!B23="","",'Data Entry'!B23)</f>
        <v/>
      </c>
      <c r="Q7" s="582"/>
      <c r="R7" s="582"/>
      <c r="S7" s="582"/>
      <c r="T7" s="582"/>
      <c r="U7" s="24"/>
      <c r="X7" s="569"/>
      <c r="Y7" s="570"/>
      <c r="Z7" s="570"/>
      <c r="AA7" s="570"/>
      <c r="AB7" s="570"/>
      <c r="AC7" s="570"/>
      <c r="AD7" s="570"/>
      <c r="AE7" s="570"/>
      <c r="AF7" s="571"/>
    </row>
    <row r="8" spans="1:32" ht="15.95" customHeight="1">
      <c r="A8" s="293"/>
      <c r="B8" s="588" t="str">
        <f>IF('Data Entry'!B31="","",'Data Entry'!B31)</f>
        <v/>
      </c>
      <c r="C8" s="588"/>
      <c r="D8" s="588"/>
      <c r="E8" s="588"/>
      <c r="F8" s="588"/>
      <c r="G8" s="588"/>
      <c r="H8" s="588"/>
      <c r="I8" s="588"/>
      <c r="J8" s="588"/>
      <c r="K8" s="364"/>
      <c r="L8" s="364"/>
      <c r="M8" s="581" t="s">
        <v>9</v>
      </c>
      <c r="N8" s="581"/>
      <c r="O8" s="581"/>
      <c r="P8" s="582" t="s">
        <v>391</v>
      </c>
      <c r="Q8" s="582"/>
      <c r="R8" s="583"/>
      <c r="S8" s="583"/>
      <c r="T8" s="583"/>
      <c r="U8" s="24"/>
      <c r="X8" s="569"/>
      <c r="Y8" s="570"/>
      <c r="Z8" s="570"/>
      <c r="AA8" s="570"/>
      <c r="AB8" s="570"/>
      <c r="AC8" s="570"/>
      <c r="AD8" s="570"/>
      <c r="AE8" s="570"/>
      <c r="AF8" s="571"/>
    </row>
    <row r="9" spans="1:32" ht="15.95" customHeight="1">
      <c r="A9" s="293"/>
      <c r="B9" s="588" t="s">
        <v>566</v>
      </c>
      <c r="C9" s="588"/>
      <c r="D9" s="588"/>
      <c r="E9" s="588"/>
      <c r="F9" s="588"/>
      <c r="G9" s="588"/>
      <c r="H9" s="588"/>
      <c r="I9" s="588"/>
      <c r="J9" s="588"/>
      <c r="K9" s="364"/>
      <c r="L9" s="364"/>
      <c r="M9" s="364"/>
      <c r="N9" s="364"/>
      <c r="O9" s="364"/>
      <c r="P9" s="364"/>
      <c r="Q9" s="365"/>
      <c r="R9" s="365"/>
      <c r="S9" s="365"/>
      <c r="T9" s="365"/>
      <c r="U9" s="24"/>
      <c r="X9" s="569"/>
      <c r="Y9" s="570"/>
      <c r="Z9" s="570"/>
      <c r="AA9" s="570"/>
      <c r="AB9" s="570"/>
      <c r="AC9" s="570"/>
      <c r="AD9" s="570"/>
      <c r="AE9" s="570"/>
      <c r="AF9" s="571"/>
    </row>
    <row r="10" spans="1:32" ht="15.95" customHeight="1">
      <c r="A10" s="293"/>
      <c r="B10" s="380"/>
      <c r="C10" s="380"/>
      <c r="D10" s="380"/>
      <c r="E10" s="380"/>
      <c r="F10" s="380"/>
      <c r="G10" s="380"/>
      <c r="H10" s="380"/>
      <c r="I10" s="380"/>
      <c r="J10" s="380"/>
      <c r="K10" s="364"/>
      <c r="L10" s="364"/>
      <c r="M10" s="364"/>
      <c r="N10" s="364"/>
      <c r="O10" s="364"/>
      <c r="P10" s="364"/>
      <c r="Q10" s="365"/>
      <c r="R10" s="365"/>
      <c r="S10" s="365"/>
      <c r="T10" s="365"/>
      <c r="U10" s="24"/>
      <c r="X10" s="569"/>
      <c r="Y10" s="570"/>
      <c r="Z10" s="570"/>
      <c r="AA10" s="570"/>
      <c r="AB10" s="570"/>
      <c r="AC10" s="570"/>
      <c r="AD10" s="570"/>
      <c r="AE10" s="570"/>
      <c r="AF10" s="571"/>
    </row>
    <row r="11" spans="1:32" ht="15.95" customHeight="1">
      <c r="A11" s="293"/>
      <c r="B11" s="366"/>
      <c r="C11" s="366"/>
      <c r="D11" s="364"/>
      <c r="E11" s="364"/>
      <c r="F11" s="364"/>
      <c r="G11" s="364"/>
      <c r="H11" s="369"/>
      <c r="I11" s="369"/>
      <c r="J11" s="369"/>
      <c r="K11" s="364"/>
      <c r="L11" s="364"/>
      <c r="M11" s="364"/>
      <c r="N11" s="364"/>
      <c r="O11" s="364"/>
      <c r="P11" s="364"/>
      <c r="Q11" s="365"/>
      <c r="R11" s="365"/>
      <c r="S11" s="365"/>
      <c r="T11" s="365"/>
      <c r="U11" s="24"/>
      <c r="X11" s="569"/>
      <c r="Y11" s="570"/>
      <c r="Z11" s="570"/>
      <c r="AA11" s="570"/>
      <c r="AB11" s="570"/>
      <c r="AC11" s="570"/>
      <c r="AD11" s="570"/>
      <c r="AE11" s="570"/>
      <c r="AF11" s="571"/>
    </row>
    <row r="12" spans="1:32" ht="15.95" customHeight="1">
      <c r="A12" s="381" t="s">
        <v>10</v>
      </c>
      <c r="B12" s="366"/>
      <c r="C12" s="366"/>
      <c r="D12" s="364"/>
      <c r="E12" s="364"/>
      <c r="F12" s="369"/>
      <c r="G12" s="369"/>
      <c r="H12" s="369"/>
      <c r="I12" s="364"/>
      <c r="J12" s="364"/>
      <c r="K12" s="364"/>
      <c r="L12" s="364"/>
      <c r="M12" s="364"/>
      <c r="N12" s="364"/>
      <c r="O12" s="364"/>
      <c r="P12" s="365"/>
      <c r="Q12" s="365"/>
      <c r="R12" s="365"/>
      <c r="S12" s="365"/>
      <c r="T12" s="365"/>
      <c r="U12" s="24"/>
      <c r="X12" s="569"/>
      <c r="Y12" s="570"/>
      <c r="Z12" s="570"/>
      <c r="AA12" s="570"/>
      <c r="AB12" s="570"/>
      <c r="AC12" s="570"/>
      <c r="AD12" s="570"/>
      <c r="AE12" s="570"/>
      <c r="AF12" s="571"/>
    </row>
    <row r="13" spans="1:32" ht="15.95" customHeight="1">
      <c r="A13" s="293"/>
      <c r="B13" s="386" t="s">
        <v>11</v>
      </c>
      <c r="C13" s="386"/>
      <c r="D13" s="386"/>
      <c r="E13" s="386"/>
      <c r="F13" s="605">
        <f>'Data Entry'!B8</f>
        <v>0</v>
      </c>
      <c r="G13" s="605"/>
      <c r="H13" s="605"/>
      <c r="I13" s="579" t="s">
        <v>488</v>
      </c>
      <c r="J13" s="579"/>
      <c r="K13" s="579"/>
      <c r="L13" s="579"/>
      <c r="M13" s="579"/>
      <c r="N13" s="579"/>
      <c r="O13" s="579"/>
      <c r="P13" s="579"/>
      <c r="Q13" s="579"/>
      <c r="R13" s="579"/>
      <c r="S13" s="579"/>
      <c r="T13" s="579"/>
      <c r="U13" s="580"/>
      <c r="X13" s="569"/>
      <c r="Y13" s="570"/>
      <c r="Z13" s="570"/>
      <c r="AA13" s="570"/>
      <c r="AB13" s="570"/>
      <c r="AC13" s="570"/>
      <c r="AD13" s="570"/>
      <c r="AE13" s="570"/>
      <c r="AF13" s="571"/>
    </row>
    <row r="14" spans="1:32" ht="15.95" customHeight="1">
      <c r="A14" s="293"/>
      <c r="B14" s="368"/>
      <c r="C14" s="368"/>
      <c r="D14" s="364"/>
      <c r="E14" s="364"/>
      <c r="F14" s="576" t="s">
        <v>13</v>
      </c>
      <c r="G14" s="576"/>
      <c r="H14" s="576"/>
      <c r="I14" s="369"/>
      <c r="J14" s="369"/>
      <c r="K14" s="369"/>
      <c r="L14" s="369"/>
      <c r="M14" s="364"/>
      <c r="N14" s="364"/>
      <c r="O14" s="371"/>
      <c r="P14" s="365"/>
      <c r="Q14" s="365"/>
      <c r="R14" s="365"/>
      <c r="S14" s="365"/>
      <c r="T14" s="365"/>
      <c r="U14" s="24"/>
      <c r="X14" s="569"/>
      <c r="Y14" s="570"/>
      <c r="Z14" s="570"/>
      <c r="AA14" s="570"/>
      <c r="AB14" s="570"/>
      <c r="AC14" s="570"/>
      <c r="AD14" s="570"/>
      <c r="AE14" s="570"/>
      <c r="AF14" s="571"/>
    </row>
    <row r="15" spans="1:32" ht="15.95" customHeight="1">
      <c r="A15" s="293"/>
      <c r="B15" s="577">
        <f>'Data Entry'!B17</f>
        <v>0</v>
      </c>
      <c r="C15" s="577"/>
      <c r="D15" s="584"/>
      <c r="E15" s="584"/>
      <c r="F15" s="584"/>
      <c r="G15" s="584"/>
      <c r="H15" s="584"/>
      <c r="I15" s="575" t="s">
        <v>489</v>
      </c>
      <c r="J15" s="575"/>
      <c r="K15" s="575"/>
      <c r="L15" s="575"/>
      <c r="M15" s="575"/>
      <c r="N15" s="575"/>
      <c r="O15" s="575"/>
      <c r="P15" s="575"/>
      <c r="Q15" s="575"/>
      <c r="R15" s="575"/>
      <c r="S15" s="575"/>
      <c r="T15" s="575"/>
      <c r="U15" s="472"/>
      <c r="X15" s="569"/>
      <c r="Y15" s="570"/>
      <c r="Z15" s="570"/>
      <c r="AA15" s="570"/>
      <c r="AB15" s="570"/>
      <c r="AC15" s="570"/>
      <c r="AD15" s="570"/>
      <c r="AE15" s="570"/>
      <c r="AF15" s="571"/>
    </row>
    <row r="16" spans="1:32" ht="15.95" customHeight="1">
      <c r="A16" s="293"/>
      <c r="B16" s="576" t="s">
        <v>15</v>
      </c>
      <c r="C16" s="576"/>
      <c r="D16" s="576"/>
      <c r="E16" s="576"/>
      <c r="F16" s="576"/>
      <c r="G16" s="576"/>
      <c r="H16" s="576"/>
      <c r="I16" s="373"/>
      <c r="J16" s="364"/>
      <c r="K16" s="576" t="s">
        <v>16</v>
      </c>
      <c r="L16" s="576"/>
      <c r="M16" s="576"/>
      <c r="N16" s="576"/>
      <c r="O16" s="576"/>
      <c r="P16" s="576"/>
      <c r="Q16" s="374"/>
      <c r="R16" s="374"/>
      <c r="S16" s="374"/>
      <c r="T16" s="374"/>
      <c r="U16" s="24"/>
      <c r="X16" s="569"/>
      <c r="Y16" s="570"/>
      <c r="Z16" s="570"/>
      <c r="AA16" s="570"/>
      <c r="AB16" s="570"/>
      <c r="AC16" s="570"/>
      <c r="AD16" s="570"/>
      <c r="AE16" s="570"/>
      <c r="AF16" s="571"/>
    </row>
    <row r="17" spans="1:36" ht="15.95" customHeight="1">
      <c r="A17" s="293"/>
      <c r="B17" s="578" t="s">
        <v>490</v>
      </c>
      <c r="C17" s="578"/>
      <c r="D17" s="578"/>
      <c r="E17" s="578"/>
      <c r="F17" s="578"/>
      <c r="G17" s="578"/>
      <c r="H17" s="578"/>
      <c r="I17" s="578"/>
      <c r="J17" s="578"/>
      <c r="K17" s="578"/>
      <c r="L17" s="578"/>
      <c r="M17" s="578"/>
      <c r="N17" s="578"/>
      <c r="O17" s="578"/>
      <c r="P17" s="578"/>
      <c r="Q17" s="578"/>
      <c r="R17" s="578"/>
      <c r="S17" s="578"/>
      <c r="T17" s="578"/>
      <c r="U17" s="382"/>
      <c r="X17" s="569"/>
      <c r="Y17" s="570"/>
      <c r="Z17" s="570"/>
      <c r="AA17" s="570"/>
      <c r="AB17" s="570"/>
      <c r="AC17" s="570"/>
      <c r="AD17" s="570"/>
      <c r="AE17" s="570"/>
      <c r="AF17" s="571"/>
    </row>
    <row r="18" spans="1:36" s="339" customFormat="1" ht="15.95" customHeight="1">
      <c r="A18" s="293"/>
      <c r="B18" s="577">
        <f>'Data Entry'!B25</f>
        <v>0</v>
      </c>
      <c r="C18" s="577"/>
      <c r="D18" s="577"/>
      <c r="E18" s="577"/>
      <c r="F18" s="577"/>
      <c r="G18" s="577"/>
      <c r="H18" s="577"/>
      <c r="I18" s="577"/>
      <c r="J18" s="577"/>
      <c r="K18" s="577"/>
      <c r="L18" s="577"/>
      <c r="M18" s="577"/>
      <c r="N18" s="577"/>
      <c r="O18" s="577"/>
      <c r="P18" s="577"/>
      <c r="Q18" s="577"/>
      <c r="R18" s="577"/>
      <c r="S18" s="577"/>
      <c r="T18" s="577"/>
      <c r="U18" s="357"/>
      <c r="X18" s="569"/>
      <c r="Y18" s="570"/>
      <c r="Z18" s="570"/>
      <c r="AA18" s="570"/>
      <c r="AB18" s="570"/>
      <c r="AC18" s="570"/>
      <c r="AD18" s="570"/>
      <c r="AE18" s="570"/>
      <c r="AF18" s="571"/>
    </row>
    <row r="19" spans="1:36" ht="15.95" customHeight="1">
      <c r="A19" s="293"/>
      <c r="B19" s="576" t="s">
        <v>532</v>
      </c>
      <c r="C19" s="576"/>
      <c r="D19" s="576"/>
      <c r="E19" s="576"/>
      <c r="F19" s="576"/>
      <c r="G19" s="576"/>
      <c r="H19" s="576"/>
      <c r="I19" s="576"/>
      <c r="J19" s="576"/>
      <c r="K19" s="576"/>
      <c r="L19" s="576"/>
      <c r="M19" s="576"/>
      <c r="N19" s="576"/>
      <c r="O19" s="576"/>
      <c r="P19" s="576"/>
      <c r="Q19" s="576"/>
      <c r="R19" s="576"/>
      <c r="S19" s="576"/>
      <c r="T19" s="576"/>
      <c r="U19" s="387"/>
      <c r="X19" s="569"/>
      <c r="Y19" s="570"/>
      <c r="Z19" s="570"/>
      <c r="AA19" s="570"/>
      <c r="AB19" s="570"/>
      <c r="AC19" s="570"/>
      <c r="AD19" s="570"/>
      <c r="AE19" s="570"/>
      <c r="AF19" s="571"/>
      <c r="AG19" s="339"/>
      <c r="AH19" s="339"/>
      <c r="AI19" s="339"/>
      <c r="AJ19" s="339"/>
    </row>
    <row r="20" spans="1:36" ht="15.95" customHeight="1">
      <c r="A20" s="293"/>
      <c r="B20" s="364" t="s">
        <v>482</v>
      </c>
      <c r="C20" s="364"/>
      <c r="D20" s="364"/>
      <c r="E20" s="364"/>
      <c r="F20" s="364"/>
      <c r="G20" s="364"/>
      <c r="H20" s="364"/>
      <c r="I20" s="364"/>
      <c r="J20" s="364"/>
      <c r="K20" s="364"/>
      <c r="L20" s="364"/>
      <c r="M20" s="364"/>
      <c r="N20" s="359"/>
      <c r="O20" s="359"/>
      <c r="P20" s="601">
        <f>IF("'Data Entry'!C10"="","",'Data Entry'!B15)</f>
        <v>0</v>
      </c>
      <c r="Q20" s="601"/>
      <c r="R20" s="601"/>
      <c r="S20" s="601"/>
      <c r="T20" s="601"/>
      <c r="U20" s="24"/>
      <c r="X20" s="569"/>
      <c r="Y20" s="570"/>
      <c r="Z20" s="570"/>
      <c r="AA20" s="570"/>
      <c r="AB20" s="570"/>
      <c r="AC20" s="570"/>
      <c r="AD20" s="570"/>
      <c r="AE20" s="570"/>
      <c r="AF20" s="571"/>
      <c r="AG20" s="339"/>
      <c r="AH20" s="339"/>
      <c r="AI20" s="339"/>
      <c r="AJ20" s="339"/>
    </row>
    <row r="21" spans="1:36" ht="15.95" customHeight="1">
      <c r="A21" s="293"/>
      <c r="B21" s="375"/>
      <c r="C21" s="375"/>
      <c r="D21" s="375"/>
      <c r="E21" s="375"/>
      <c r="F21" s="375"/>
      <c r="G21" s="375"/>
      <c r="H21" s="375"/>
      <c r="I21" s="375"/>
      <c r="J21" s="375"/>
      <c r="K21" s="375"/>
      <c r="L21" s="375"/>
      <c r="M21" s="375"/>
      <c r="N21" s="359"/>
      <c r="O21" s="359"/>
      <c r="P21" s="576" t="s">
        <v>486</v>
      </c>
      <c r="Q21" s="576"/>
      <c r="R21" s="576"/>
      <c r="S21" s="576"/>
      <c r="T21" s="576"/>
      <c r="U21" s="24"/>
      <c r="X21" s="569"/>
      <c r="Y21" s="570"/>
      <c r="Z21" s="570"/>
      <c r="AA21" s="570"/>
      <c r="AB21" s="570"/>
      <c r="AC21" s="570"/>
      <c r="AD21" s="570"/>
      <c r="AE21" s="570"/>
      <c r="AF21" s="571"/>
      <c r="AG21" s="339"/>
      <c r="AH21" s="339"/>
      <c r="AI21" s="339"/>
      <c r="AJ21" s="339"/>
    </row>
    <row r="22" spans="1:36" ht="15.95" customHeight="1">
      <c r="A22" s="293"/>
      <c r="B22" s="375" t="s">
        <v>20</v>
      </c>
      <c r="C22" s="375"/>
      <c r="D22" s="375"/>
      <c r="E22" s="375"/>
      <c r="F22" s="375"/>
      <c r="G22" s="375"/>
      <c r="H22" s="376"/>
      <c r="I22" s="376"/>
      <c r="J22" s="376"/>
      <c r="K22" s="376"/>
      <c r="L22" s="376"/>
      <c r="M22" s="376"/>
      <c r="N22" s="376"/>
      <c r="O22" s="376"/>
      <c r="P22" s="376"/>
      <c r="Q22" s="376"/>
      <c r="R22" s="376"/>
      <c r="S22" s="376"/>
      <c r="T22" s="376"/>
      <c r="U22" s="24"/>
      <c r="X22" s="569"/>
      <c r="Y22" s="570"/>
      <c r="Z22" s="570"/>
      <c r="AA22" s="570"/>
      <c r="AB22" s="570"/>
      <c r="AC22" s="570"/>
      <c r="AD22" s="570"/>
      <c r="AE22" s="570"/>
      <c r="AF22" s="571"/>
    </row>
    <row r="23" spans="1:36" ht="15.95" customHeight="1" thickBot="1">
      <c r="A23" s="293"/>
      <c r="B23" s="376"/>
      <c r="C23" s="376"/>
      <c r="D23" s="376"/>
      <c r="E23" s="376"/>
      <c r="F23" s="376"/>
      <c r="G23" s="376"/>
      <c r="H23" s="376"/>
      <c r="I23" s="376"/>
      <c r="J23" s="376"/>
      <c r="K23" s="376"/>
      <c r="L23" s="376"/>
      <c r="M23" s="376"/>
      <c r="N23" s="376"/>
      <c r="O23" s="376"/>
      <c r="P23" s="376"/>
      <c r="Q23" s="376"/>
      <c r="R23" s="376"/>
      <c r="S23" s="376"/>
      <c r="T23" s="376"/>
      <c r="U23" s="24"/>
      <c r="X23" s="572"/>
      <c r="Y23" s="573"/>
      <c r="Z23" s="573"/>
      <c r="AA23" s="573"/>
      <c r="AB23" s="573"/>
      <c r="AC23" s="573"/>
      <c r="AD23" s="573"/>
      <c r="AE23" s="573"/>
      <c r="AF23" s="574"/>
    </row>
    <row r="24" spans="1:36" ht="15.95" customHeight="1">
      <c r="A24" s="293"/>
      <c r="B24" s="375" t="s">
        <v>531</v>
      </c>
      <c r="C24" s="375"/>
      <c r="D24" s="375"/>
      <c r="E24" s="375"/>
      <c r="F24" s="375"/>
      <c r="G24" s="375"/>
      <c r="H24" s="375"/>
      <c r="J24" s="575">
        <f>K15</f>
        <v>0</v>
      </c>
      <c r="K24" s="575"/>
      <c r="L24" s="575"/>
      <c r="M24" s="575"/>
      <c r="N24" s="575"/>
      <c r="O24" s="575"/>
      <c r="P24" s="575"/>
      <c r="Q24" s="575"/>
      <c r="R24" s="376"/>
      <c r="S24" s="376"/>
      <c r="T24" s="376"/>
      <c r="U24" s="24"/>
    </row>
    <row r="25" spans="1:36" ht="15.95" customHeight="1">
      <c r="A25" s="293"/>
      <c r="B25" s="376"/>
      <c r="C25" s="376"/>
      <c r="D25" s="376"/>
      <c r="E25" s="376"/>
      <c r="F25" s="376"/>
      <c r="G25" s="376"/>
      <c r="H25" s="376"/>
      <c r="J25" s="576" t="s">
        <v>16</v>
      </c>
      <c r="K25" s="576"/>
      <c r="L25" s="576"/>
      <c r="M25" s="576"/>
      <c r="N25" s="576"/>
      <c r="O25" s="576"/>
      <c r="P25" s="576"/>
      <c r="Q25" s="576"/>
      <c r="R25" s="376"/>
      <c r="S25" s="376"/>
      <c r="T25" s="376"/>
      <c r="U25" s="24"/>
    </row>
    <row r="26" spans="1:36" s="461" customFormat="1" ht="15.95" customHeight="1">
      <c r="A26" s="293"/>
      <c r="B26" s="376"/>
      <c r="C26" s="376"/>
      <c r="D26" s="376"/>
      <c r="E26" s="376"/>
      <c r="F26" s="376"/>
      <c r="G26" s="376"/>
      <c r="H26" s="376"/>
      <c r="I26" s="376"/>
      <c r="J26" s="376"/>
      <c r="K26" s="376"/>
      <c r="L26" s="376"/>
      <c r="M26" s="376"/>
      <c r="N26" s="376"/>
      <c r="O26" s="374"/>
      <c r="P26" s="374"/>
      <c r="Q26" s="374"/>
      <c r="R26" s="374"/>
      <c r="S26" s="359"/>
      <c r="T26" s="376"/>
      <c r="U26" s="24"/>
    </row>
    <row r="27" spans="1:36" s="461" customFormat="1" ht="15.95" customHeight="1">
      <c r="A27" s="293"/>
      <c r="B27" s="376"/>
      <c r="C27" s="376"/>
      <c r="D27" s="376"/>
      <c r="E27" s="376"/>
      <c r="F27" s="376"/>
      <c r="G27" s="376"/>
      <c r="H27" s="376"/>
      <c r="I27" s="376"/>
      <c r="J27" s="376"/>
      <c r="K27" s="376"/>
      <c r="L27" s="376"/>
      <c r="M27" s="376"/>
      <c r="N27" s="376"/>
      <c r="P27" s="375"/>
      <c r="Q27" s="375"/>
      <c r="R27" s="375"/>
      <c r="S27" s="359"/>
      <c r="T27" s="376"/>
      <c r="U27" s="24"/>
    </row>
    <row r="28" spans="1:36" s="461" customFormat="1" ht="15.95" customHeight="1">
      <c r="A28" s="293"/>
      <c r="B28" s="376"/>
      <c r="C28" s="376"/>
      <c r="D28" s="376"/>
      <c r="E28" s="376"/>
      <c r="F28" s="376"/>
      <c r="G28" s="376"/>
      <c r="H28" s="376"/>
      <c r="I28" s="376"/>
      <c r="J28" s="376"/>
      <c r="K28" s="376"/>
      <c r="L28" s="376"/>
      <c r="M28" s="376"/>
      <c r="N28" s="376"/>
      <c r="O28" s="375" t="s">
        <v>22</v>
      </c>
      <c r="P28" s="374"/>
      <c r="Q28" s="374"/>
      <c r="R28" s="374"/>
      <c r="S28" s="359"/>
      <c r="T28" s="376"/>
      <c r="U28" s="24"/>
    </row>
    <row r="29" spans="1:36" ht="15.95" customHeight="1">
      <c r="A29" s="293"/>
      <c r="B29" s="376"/>
      <c r="C29" s="376"/>
      <c r="D29" s="376"/>
      <c r="E29" s="376"/>
      <c r="F29" s="376"/>
      <c r="G29" s="376"/>
      <c r="H29" s="376"/>
      <c r="I29" s="376"/>
      <c r="J29" s="376"/>
      <c r="K29" s="376"/>
      <c r="L29" s="376"/>
      <c r="M29" s="376"/>
      <c r="N29" s="376"/>
      <c r="O29" s="376"/>
      <c r="P29" s="376"/>
      <c r="Q29" s="376"/>
      <c r="R29" s="376"/>
      <c r="S29" s="376"/>
      <c r="T29" s="376"/>
      <c r="U29" s="24"/>
    </row>
    <row r="30" spans="1:36" ht="15.95" customHeight="1">
      <c r="A30" s="293"/>
      <c r="B30" s="369"/>
      <c r="C30" s="369"/>
      <c r="D30" s="369"/>
      <c r="E30" s="369"/>
      <c r="F30" s="369"/>
      <c r="G30" s="369"/>
      <c r="H30" s="376"/>
      <c r="I30" s="376"/>
      <c r="J30" s="376"/>
      <c r="K30" s="376"/>
      <c r="L30" s="376"/>
      <c r="M30" s="376"/>
      <c r="N30" s="376"/>
      <c r="O30" s="375"/>
      <c r="P30" s="375"/>
      <c r="Q30" s="375"/>
      <c r="R30" s="375"/>
      <c r="S30" s="375"/>
      <c r="T30" s="375"/>
      <c r="U30" s="24"/>
    </row>
    <row r="31" spans="1:36" ht="15.95" customHeight="1">
      <c r="A31" s="293"/>
      <c r="B31" s="369"/>
      <c r="C31" s="369"/>
      <c r="D31" s="369"/>
      <c r="E31" s="369"/>
      <c r="F31" s="369"/>
      <c r="G31" s="369"/>
      <c r="H31" s="376"/>
      <c r="I31" s="376"/>
      <c r="J31" s="376"/>
      <c r="K31" s="376"/>
      <c r="L31" s="376"/>
      <c r="M31" s="376"/>
      <c r="N31" s="376"/>
      <c r="O31" s="375"/>
      <c r="P31" s="375"/>
      <c r="Q31" s="375"/>
      <c r="R31" s="375"/>
      <c r="S31" s="375"/>
      <c r="T31" s="375"/>
      <c r="U31" s="24"/>
    </row>
    <row r="32" spans="1:36" ht="15.95" customHeight="1">
      <c r="A32" s="293"/>
      <c r="B32" s="369"/>
      <c r="C32" s="369"/>
      <c r="D32" s="369"/>
      <c r="E32" s="369"/>
      <c r="F32" s="369"/>
      <c r="G32" s="369"/>
      <c r="H32" s="376"/>
      <c r="I32" s="376"/>
      <c r="J32" s="376"/>
      <c r="K32" s="376"/>
      <c r="L32" s="376"/>
      <c r="M32" s="376"/>
      <c r="N32" s="376"/>
      <c r="O32" s="375"/>
      <c r="P32" s="375"/>
      <c r="Q32" s="375"/>
      <c r="R32" s="375"/>
      <c r="S32" s="375"/>
      <c r="T32" s="375"/>
      <c r="U32" s="24"/>
    </row>
    <row r="33" spans="1:21" ht="15.95" customHeight="1">
      <c r="A33" s="293"/>
      <c r="B33" s="369"/>
      <c r="C33" s="369"/>
      <c r="D33" s="369"/>
      <c r="E33" s="369"/>
      <c r="F33" s="369"/>
      <c r="G33" s="369"/>
      <c r="H33" s="376"/>
      <c r="I33" s="376"/>
      <c r="J33" s="376"/>
      <c r="K33" s="376"/>
      <c r="L33" s="376"/>
      <c r="M33" s="376"/>
      <c r="N33" s="376"/>
      <c r="O33" s="604">
        <f>'Data Entry'!B35</f>
        <v>0</v>
      </c>
      <c r="P33" s="604"/>
      <c r="Q33" s="604"/>
      <c r="R33" s="604"/>
      <c r="S33" s="604"/>
      <c r="T33" s="604"/>
      <c r="U33" s="24"/>
    </row>
    <row r="34" spans="1:21" ht="15.95" customHeight="1">
      <c r="A34" s="293"/>
      <c r="B34" s="369"/>
      <c r="C34" s="369"/>
      <c r="D34" s="369"/>
      <c r="E34" s="369"/>
      <c r="F34" s="369"/>
      <c r="G34" s="369"/>
      <c r="H34" s="376"/>
      <c r="I34" s="376"/>
      <c r="J34" s="376"/>
      <c r="K34" s="376"/>
      <c r="L34" s="376"/>
      <c r="M34" s="376"/>
      <c r="N34" s="376"/>
      <c r="O34" s="602" t="s">
        <v>23</v>
      </c>
      <c r="P34" s="603"/>
      <c r="Q34" s="603"/>
      <c r="R34" s="603"/>
      <c r="S34" s="603"/>
      <c r="T34" s="603"/>
      <c r="U34" s="24"/>
    </row>
    <row r="35" spans="1:21" ht="15.95" customHeight="1">
      <c r="A35" s="293"/>
      <c r="B35" s="376"/>
      <c r="C35" s="376"/>
      <c r="D35" s="376"/>
      <c r="E35" s="376"/>
      <c r="F35" s="376"/>
      <c r="G35" s="376"/>
      <c r="H35" s="376"/>
      <c r="I35" s="376"/>
      <c r="J35" s="376"/>
      <c r="K35" s="376"/>
      <c r="L35" s="376"/>
      <c r="M35" s="376"/>
      <c r="N35" s="376"/>
      <c r="O35" s="376"/>
      <c r="P35" s="376"/>
      <c r="Q35" s="376"/>
      <c r="R35" s="376"/>
      <c r="S35" s="376"/>
      <c r="T35" s="376"/>
      <c r="U35" s="24"/>
    </row>
    <row r="36" spans="1:21" ht="15.95" customHeight="1">
      <c r="A36" s="293"/>
      <c r="B36" s="376"/>
      <c r="C36" s="376"/>
      <c r="D36" s="376"/>
      <c r="E36" s="376"/>
      <c r="F36" s="376"/>
      <c r="G36" s="376"/>
      <c r="H36" s="376"/>
      <c r="I36" s="376"/>
      <c r="J36" s="376"/>
      <c r="K36" s="376"/>
      <c r="L36" s="376"/>
      <c r="M36" s="376"/>
      <c r="N36" s="376"/>
      <c r="O36" s="376"/>
      <c r="P36" s="376"/>
      <c r="Q36" s="376"/>
      <c r="R36" s="376"/>
      <c r="S36" s="376"/>
      <c r="T36" s="376"/>
      <c r="U36" s="24"/>
    </row>
    <row r="37" spans="1:21" ht="15.95" customHeight="1">
      <c r="A37" s="293"/>
      <c r="B37" s="376"/>
      <c r="C37" s="376"/>
      <c r="D37" s="376"/>
      <c r="E37" s="379"/>
      <c r="F37" s="379"/>
      <c r="G37" s="379" t="s">
        <v>24</v>
      </c>
      <c r="H37" s="383"/>
      <c r="I37" s="383"/>
      <c r="J37" s="598"/>
      <c r="K37" s="598"/>
      <c r="L37" s="598"/>
      <c r="M37" s="598"/>
      <c r="N37" s="598"/>
      <c r="O37" s="376"/>
      <c r="P37" s="376"/>
      <c r="Q37" s="376"/>
      <c r="R37" s="376"/>
      <c r="S37" s="376"/>
      <c r="T37" s="376"/>
      <c r="U37" s="24"/>
    </row>
    <row r="38" spans="1:21" ht="15.95" customHeight="1">
      <c r="A38" s="293"/>
      <c r="B38" s="376"/>
      <c r="C38" s="376"/>
      <c r="D38" s="376"/>
      <c r="E38" s="376"/>
      <c r="F38" s="379"/>
      <c r="G38" s="379" t="s">
        <v>25</v>
      </c>
      <c r="H38" s="384"/>
      <c r="I38" s="383"/>
      <c r="J38" s="599"/>
      <c r="K38" s="599"/>
      <c r="L38" s="599"/>
      <c r="M38" s="599"/>
      <c r="N38" s="599"/>
      <c r="O38" s="376"/>
      <c r="P38" s="376"/>
      <c r="Q38" s="376"/>
      <c r="R38" s="376"/>
      <c r="S38" s="376"/>
      <c r="T38" s="376"/>
      <c r="U38" s="24"/>
    </row>
    <row r="39" spans="1:21" ht="15.95" customHeight="1">
      <c r="A39" s="293"/>
      <c r="B39" s="376"/>
      <c r="C39" s="376"/>
      <c r="D39" s="376"/>
      <c r="E39" s="376"/>
      <c r="F39" s="379"/>
      <c r="G39" s="379" t="s">
        <v>26</v>
      </c>
      <c r="H39" s="384"/>
      <c r="I39" s="384"/>
      <c r="J39" s="600"/>
      <c r="K39" s="600"/>
      <c r="L39" s="600"/>
      <c r="M39" s="600"/>
      <c r="N39" s="600"/>
      <c r="O39" s="376"/>
      <c r="P39" s="376"/>
      <c r="Q39" s="376"/>
      <c r="R39" s="376"/>
      <c r="S39" s="376"/>
      <c r="T39" s="376"/>
      <c r="U39" s="24"/>
    </row>
    <row r="40" spans="1:21" ht="15.95" customHeight="1">
      <c r="A40" s="293"/>
      <c r="B40" s="376"/>
      <c r="C40" s="376"/>
      <c r="D40" s="376"/>
      <c r="E40" s="359"/>
      <c r="F40" s="359"/>
      <c r="G40" s="359"/>
      <c r="H40" s="359"/>
      <c r="I40" s="359"/>
      <c r="J40" s="385"/>
      <c r="K40" s="385"/>
      <c r="L40" s="385"/>
      <c r="M40" s="385"/>
      <c r="N40" s="385"/>
      <c r="O40" s="376"/>
      <c r="P40" s="376"/>
      <c r="Q40" s="376"/>
      <c r="R40" s="376"/>
      <c r="S40" s="376"/>
      <c r="T40" s="376"/>
      <c r="U40" s="24"/>
    </row>
    <row r="41" spans="1:21" ht="15.95" customHeight="1">
      <c r="A41" s="293"/>
      <c r="B41" s="376"/>
      <c r="C41" s="376"/>
      <c r="D41" s="376"/>
      <c r="E41" s="369"/>
      <c r="F41" s="379"/>
      <c r="G41" s="379" t="s">
        <v>27</v>
      </c>
      <c r="H41" s="383"/>
      <c r="I41" s="383"/>
      <c r="J41" s="598"/>
      <c r="K41" s="598"/>
      <c r="L41" s="598"/>
      <c r="M41" s="598"/>
      <c r="N41" s="598"/>
      <c r="O41" s="376"/>
      <c r="P41" s="376"/>
      <c r="Q41" s="376"/>
      <c r="R41" s="376"/>
      <c r="S41" s="376"/>
      <c r="T41" s="376"/>
      <c r="U41" s="24"/>
    </row>
    <row r="42" spans="1:21" ht="15.95" customHeight="1" thickBot="1">
      <c r="A42" s="36"/>
      <c r="B42" s="37"/>
      <c r="C42" s="37"/>
      <c r="D42" s="37"/>
      <c r="E42" s="37"/>
      <c r="F42" s="37"/>
      <c r="G42" s="37"/>
      <c r="H42" s="37"/>
      <c r="I42" s="37"/>
      <c r="J42" s="37"/>
      <c r="K42" s="37"/>
      <c r="L42" s="37"/>
      <c r="M42" s="37"/>
      <c r="N42" s="37"/>
      <c r="O42" s="37"/>
      <c r="P42" s="37"/>
      <c r="Q42" s="37"/>
      <c r="R42" s="37"/>
      <c r="S42" s="37"/>
      <c r="T42" s="37"/>
      <c r="U42" s="38"/>
    </row>
  </sheetData>
  <mergeCells count="45">
    <mergeCell ref="P5:T5"/>
    <mergeCell ref="P4:T4"/>
    <mergeCell ref="M6:O6"/>
    <mergeCell ref="B4:J4"/>
    <mergeCell ref="F13:H13"/>
    <mergeCell ref="J37:N37"/>
    <mergeCell ref="J38:N38"/>
    <mergeCell ref="J39:N39"/>
    <mergeCell ref="J41:N41"/>
    <mergeCell ref="P20:T20"/>
    <mergeCell ref="P21:T21"/>
    <mergeCell ref="O34:T34"/>
    <mergeCell ref="O33:T33"/>
    <mergeCell ref="X1:AF2"/>
    <mergeCell ref="P2:R2"/>
    <mergeCell ref="B9:J9"/>
    <mergeCell ref="F14:H14"/>
    <mergeCell ref="B5:J5"/>
    <mergeCell ref="B6:J6"/>
    <mergeCell ref="B7:J7"/>
    <mergeCell ref="B8:J8"/>
    <mergeCell ref="F1:O2"/>
    <mergeCell ref="S2:U2"/>
    <mergeCell ref="S1:U1"/>
    <mergeCell ref="P1:R1"/>
    <mergeCell ref="M4:O4"/>
    <mergeCell ref="M5:O5"/>
    <mergeCell ref="M7:O7"/>
    <mergeCell ref="P6:T6"/>
    <mergeCell ref="X3:AF23"/>
    <mergeCell ref="J24:Q24"/>
    <mergeCell ref="J25:Q25"/>
    <mergeCell ref="K15:T15"/>
    <mergeCell ref="B18:T18"/>
    <mergeCell ref="B17:T17"/>
    <mergeCell ref="I13:U13"/>
    <mergeCell ref="B19:T19"/>
    <mergeCell ref="M8:O8"/>
    <mergeCell ref="P8:Q8"/>
    <mergeCell ref="R8:T8"/>
    <mergeCell ref="P7:T7"/>
    <mergeCell ref="B15:H15"/>
    <mergeCell ref="B16:H16"/>
    <mergeCell ref="K16:P16"/>
    <mergeCell ref="I15:J15"/>
  </mergeCells>
  <conditionalFormatting sqref="B4:J4">
    <cfRule type="cellIs" dxfId="9" priority="1" operator="equal">
      <formula>0</formula>
    </cfRule>
  </conditionalFormatting>
  <pageMargins left="3.937007874015748E-2" right="3.937007874015748E-2" top="0.74803149606299213" bottom="0.74803149606299213" header="0.31496062992125984" footer="0.31496062992125984"/>
  <pageSetup paperSize="9"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ED51E649-30C8-4B68-86E6-C19EFC6EA3B6}">
          <x14:formula1>
            <xm:f>'Data Entry'!$B$11:$C$11</xm:f>
          </x14:formula1>
          <xm:sqref>P5:T5</xm:sqref>
        </x14:dataValidation>
        <x14:dataValidation type="list" allowBlank="1" showInputMessage="1" showErrorMessage="1" xr:uid="{194DCE9D-9C61-4D35-95F8-89F25275A872}">
          <x14:formula1>
            <xm:f>'Data Entry'!$B$15:$C$15</xm:f>
          </x14:formula1>
          <xm:sqref>R8:T8</xm:sqref>
        </x14:dataValidation>
        <x14:dataValidation type="list" allowBlank="1" showInputMessage="1" showErrorMessage="1" xr:uid="{FD0DCD64-DD6D-4815-B4D2-34057477A0C9}">
          <x14:formula1>
            <xm:f>'Data Entry'!$B$13:$C$13</xm:f>
          </x14:formula1>
          <xm:sqref>B4:J4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0000"/>
  </sheetPr>
  <dimension ref="A1:P41"/>
  <sheetViews>
    <sheetView workbookViewId="0"/>
  </sheetViews>
  <sheetFormatPr baseColWidth="10" defaultColWidth="9" defaultRowHeight="12.75"/>
  <cols>
    <col min="1" max="1" width="1.28515625" style="1" customWidth="1"/>
    <col min="2" max="2" width="1.7109375" style="1" customWidth="1"/>
    <col min="3" max="3" width="2.85546875" style="1" customWidth="1"/>
    <col min="4" max="4" width="7.28515625" style="1" customWidth="1"/>
    <col min="5" max="5" width="9" style="1" customWidth="1"/>
    <col min="6" max="6" width="11.85546875" style="1" customWidth="1"/>
    <col min="7" max="7" width="9" style="1" customWidth="1"/>
    <col min="8" max="8" width="4" style="1" customWidth="1"/>
    <col min="9" max="9" width="2" style="1" customWidth="1"/>
    <col min="10" max="10" width="5.85546875" style="1" customWidth="1"/>
    <col min="11" max="11" width="8.5703125" style="1" customWidth="1"/>
    <col min="12" max="12" width="3.28515625" style="1" customWidth="1"/>
    <col min="13" max="13" width="12.7109375" style="1" customWidth="1"/>
    <col min="14" max="14" width="16.5703125" style="1" customWidth="1"/>
    <col min="15" max="15" width="1.85546875" style="1" customWidth="1"/>
    <col min="16" max="16" width="1.28515625" style="1" customWidth="1"/>
  </cols>
  <sheetData>
    <row r="1" spans="2:16" ht="15.75" thickBot="1">
      <c r="B1" s="2"/>
      <c r="C1" s="2"/>
      <c r="D1" s="2"/>
      <c r="E1" s="2"/>
      <c r="F1" s="2"/>
      <c r="G1" s="2"/>
      <c r="H1" s="2"/>
      <c r="I1" s="2"/>
      <c r="J1" s="2"/>
      <c r="K1" s="2"/>
      <c r="L1" s="2"/>
      <c r="M1" s="2"/>
      <c r="N1" s="2"/>
      <c r="O1" s="2"/>
    </row>
    <row r="2" spans="2:16" ht="21">
      <c r="B2" s="3"/>
      <c r="C2" s="4"/>
      <c r="D2" s="4"/>
      <c r="E2" s="4"/>
      <c r="F2" s="4"/>
      <c r="G2" s="625" t="s">
        <v>28</v>
      </c>
      <c r="H2" s="625"/>
      <c r="I2" s="625"/>
      <c r="J2" s="625"/>
      <c r="K2" s="625"/>
      <c r="L2" s="5"/>
      <c r="M2" s="207" t="s">
        <v>29</v>
      </c>
      <c r="N2" s="6" t="s">
        <v>2</v>
      </c>
      <c r="O2" s="7"/>
      <c r="P2" s="8"/>
    </row>
    <row r="3" spans="2:16" ht="16.5" thickBot="1">
      <c r="B3" s="10"/>
      <c r="C3" s="11"/>
      <c r="D3" s="11"/>
      <c r="E3" s="11"/>
      <c r="F3" s="11"/>
      <c r="G3" s="626"/>
      <c r="H3" s="626"/>
      <c r="I3" s="626"/>
      <c r="J3" s="626"/>
      <c r="K3" s="626"/>
      <c r="L3" s="12"/>
      <c r="M3" s="208" t="s">
        <v>3</v>
      </c>
      <c r="N3" s="13">
        <v>42917</v>
      </c>
      <c r="O3" s="14"/>
      <c r="P3" s="9"/>
    </row>
    <row r="4" spans="2:16" ht="15.75">
      <c r="B4" s="15"/>
      <c r="C4" s="16"/>
      <c r="D4" s="16"/>
      <c r="E4" s="16"/>
      <c r="F4" s="16"/>
      <c r="G4" s="17"/>
      <c r="H4" s="17"/>
      <c r="I4" s="17"/>
      <c r="J4" s="17"/>
      <c r="K4" s="17"/>
      <c r="L4" s="18"/>
      <c r="M4" s="19"/>
      <c r="N4" s="20"/>
      <c r="O4" s="21"/>
      <c r="P4" s="9"/>
    </row>
    <row r="5" spans="2:16" ht="15.75">
      <c r="B5" s="22"/>
      <c r="C5" s="627" t="s">
        <v>4</v>
      </c>
      <c r="D5" s="627"/>
      <c r="E5" s="609" t="s">
        <v>305</v>
      </c>
      <c r="F5" s="609"/>
      <c r="G5" s="609"/>
      <c r="H5" s="609"/>
      <c r="I5" s="23"/>
      <c r="J5" s="23" t="s">
        <v>5</v>
      </c>
      <c r="K5" s="23"/>
      <c r="L5" s="628" t="s">
        <v>6</v>
      </c>
      <c r="M5" s="629"/>
      <c r="N5" s="629"/>
      <c r="O5" s="24"/>
    </row>
    <row r="6" spans="2:16" ht="15.75">
      <c r="B6" s="22"/>
      <c r="C6" s="621"/>
      <c r="D6" s="621"/>
      <c r="E6" s="622" t="s">
        <v>95</v>
      </c>
      <c r="F6" s="622"/>
      <c r="G6" s="622"/>
      <c r="H6" s="622"/>
      <c r="I6" s="23"/>
      <c r="J6" s="23" t="s">
        <v>7</v>
      </c>
      <c r="K6" s="23"/>
      <c r="L6" s="630">
        <f>'Data Entry'!B11</f>
        <v>0</v>
      </c>
      <c r="M6" s="631"/>
      <c r="N6" s="631"/>
      <c r="O6" s="24"/>
    </row>
    <row r="7" spans="2:16" ht="15.75">
      <c r="B7" s="22"/>
      <c r="C7" s="621"/>
      <c r="D7" s="621"/>
      <c r="E7" s="632" t="s">
        <v>304</v>
      </c>
      <c r="F7" s="622"/>
      <c r="G7" s="622"/>
      <c r="H7" s="622"/>
      <c r="I7" s="23"/>
      <c r="J7" s="23" t="s">
        <v>8</v>
      </c>
      <c r="K7" s="23"/>
      <c r="L7" s="630">
        <f>'Data Entry'!B13</f>
        <v>0</v>
      </c>
      <c r="M7" s="631"/>
      <c r="N7" s="631"/>
      <c r="O7" s="24"/>
    </row>
    <row r="8" spans="2:16" ht="15.75">
      <c r="B8" s="22"/>
      <c r="C8" s="233"/>
      <c r="D8" s="233"/>
      <c r="E8" s="632"/>
      <c r="F8" s="622"/>
      <c r="G8" s="622"/>
      <c r="H8" s="622"/>
      <c r="I8" s="23"/>
      <c r="J8" s="23" t="s">
        <v>9</v>
      </c>
      <c r="K8" s="23"/>
      <c r="L8" s="633" t="s">
        <v>302</v>
      </c>
      <c r="M8" s="634"/>
      <c r="N8" s="634"/>
      <c r="O8" s="24"/>
    </row>
    <row r="9" spans="2:16" ht="15.75">
      <c r="B9" s="22"/>
      <c r="C9" s="621"/>
      <c r="D9" s="621"/>
      <c r="E9" s="622"/>
      <c r="F9" s="622"/>
      <c r="G9" s="622"/>
      <c r="H9" s="622"/>
      <c r="I9" s="23"/>
      <c r="J9" s="16"/>
      <c r="K9" s="23"/>
      <c r="L9" s="623"/>
      <c r="M9" s="624"/>
      <c r="N9" s="624"/>
      <c r="O9" s="24"/>
    </row>
    <row r="10" spans="2:16" ht="15.75">
      <c r="B10" s="15"/>
      <c r="C10" s="23"/>
      <c r="D10" s="23"/>
      <c r="E10" s="23"/>
      <c r="F10" s="23"/>
      <c r="G10" s="23"/>
      <c r="H10" s="23"/>
      <c r="I10" s="23"/>
      <c r="J10" s="23"/>
      <c r="K10" s="23"/>
      <c r="L10" s="23"/>
      <c r="M10" s="23"/>
      <c r="N10" s="25"/>
      <c r="O10" s="24"/>
    </row>
    <row r="11" spans="2:16" ht="15.75">
      <c r="B11" s="15"/>
      <c r="C11" s="26"/>
      <c r="D11" s="23"/>
      <c r="E11" s="23"/>
      <c r="F11" s="23"/>
      <c r="G11" s="23"/>
      <c r="H11" s="23"/>
      <c r="I11" s="23"/>
      <c r="J11" s="23"/>
      <c r="K11" s="23"/>
      <c r="L11" s="23"/>
      <c r="M11" s="23"/>
      <c r="N11" s="25"/>
      <c r="O11" s="24"/>
    </row>
    <row r="12" spans="2:16" ht="15.75">
      <c r="B12" s="15"/>
      <c r="C12" s="26" t="s">
        <v>10</v>
      </c>
      <c r="D12" s="23"/>
      <c r="E12" s="23"/>
      <c r="F12" s="23"/>
      <c r="G12" s="23"/>
      <c r="H12" s="23"/>
      <c r="I12" s="23"/>
      <c r="J12" s="23"/>
      <c r="K12" s="23"/>
      <c r="L12" s="23"/>
      <c r="M12" s="25"/>
      <c r="N12" s="25"/>
      <c r="O12" s="24"/>
    </row>
    <row r="13" spans="2:16" ht="15.75">
      <c r="B13" s="15"/>
      <c r="C13" s="27" t="s">
        <v>11</v>
      </c>
      <c r="D13" s="23"/>
      <c r="E13" s="23"/>
      <c r="F13" s="615" t="s">
        <v>12</v>
      </c>
      <c r="G13" s="615"/>
      <c r="H13" s="615"/>
      <c r="I13" s="28"/>
      <c r="J13" s="23" t="s">
        <v>303</v>
      </c>
      <c r="K13" s="23"/>
      <c r="L13" s="206"/>
      <c r="M13" s="25"/>
      <c r="N13" s="25"/>
      <c r="O13" s="24"/>
    </row>
    <row r="14" spans="2:16" ht="15.75">
      <c r="B14" s="15"/>
      <c r="C14" s="27"/>
      <c r="D14" s="23"/>
      <c r="E14" s="23"/>
      <c r="F14" s="616" t="s">
        <v>13</v>
      </c>
      <c r="G14" s="616"/>
      <c r="H14" s="616"/>
      <c r="I14" s="23"/>
      <c r="J14" s="23"/>
      <c r="K14" s="23"/>
      <c r="L14" s="206"/>
      <c r="M14" s="25"/>
      <c r="N14" s="25"/>
      <c r="O14" s="24"/>
    </row>
    <row r="15" spans="2:16" ht="15.75" customHeight="1">
      <c r="B15" s="15"/>
      <c r="C15" s="617" t="s">
        <v>319</v>
      </c>
      <c r="D15" s="617"/>
      <c r="E15" s="617"/>
      <c r="F15" s="617"/>
      <c r="G15" s="617"/>
      <c r="H15" s="617"/>
      <c r="I15" s="617"/>
      <c r="J15" s="617"/>
      <c r="K15" s="617"/>
      <c r="L15" s="617"/>
      <c r="M15" s="617"/>
      <c r="N15" s="617"/>
      <c r="O15" s="24"/>
    </row>
    <row r="16" spans="2:16" ht="15.75">
      <c r="B16" s="15"/>
      <c r="C16" s="27"/>
      <c r="D16" s="23"/>
      <c r="E16" s="23"/>
      <c r="F16" s="206"/>
      <c r="G16" s="206"/>
      <c r="H16" s="206"/>
      <c r="I16" s="23"/>
      <c r="J16" s="23"/>
      <c r="K16" s="23"/>
      <c r="L16" s="206"/>
      <c r="M16" s="25"/>
      <c r="N16" s="25"/>
      <c r="O16" s="24"/>
    </row>
    <row r="17" spans="2:16" ht="35.25" customHeight="1">
      <c r="B17" s="15"/>
      <c r="C17" s="618">
        <f>'Data Entry'!B13</f>
        <v>0</v>
      </c>
      <c r="D17" s="619"/>
      <c r="E17" s="619"/>
      <c r="F17" s="619"/>
      <c r="G17" s="206" t="s">
        <v>14</v>
      </c>
      <c r="H17" s="615" t="s">
        <v>320</v>
      </c>
      <c r="I17" s="615"/>
      <c r="J17" s="615"/>
      <c r="K17" s="615"/>
      <c r="L17" s="615"/>
      <c r="M17" s="615"/>
      <c r="N17" s="25"/>
      <c r="O17" s="24"/>
    </row>
    <row r="18" spans="2:16" ht="15.75">
      <c r="B18" s="15"/>
      <c r="C18" s="612" t="s">
        <v>15</v>
      </c>
      <c r="D18" s="612"/>
      <c r="E18" s="612"/>
      <c r="F18" s="612"/>
      <c r="G18" s="23"/>
      <c r="H18" s="610" t="s">
        <v>16</v>
      </c>
      <c r="I18" s="610"/>
      <c r="J18" s="610"/>
      <c r="K18" s="610"/>
      <c r="L18" s="620" t="s">
        <v>306</v>
      </c>
      <c r="M18" s="620"/>
      <c r="N18" s="620"/>
      <c r="O18" s="24"/>
    </row>
    <row r="19" spans="2:16" ht="44.25" customHeight="1">
      <c r="B19" s="15"/>
      <c r="C19" s="26" t="s">
        <v>262</v>
      </c>
      <c r="D19" s="16"/>
      <c r="E19" s="16"/>
      <c r="F19" s="16"/>
      <c r="G19" s="16"/>
      <c r="H19" s="16"/>
      <c r="I19" s="16"/>
      <c r="J19" s="16"/>
      <c r="K19" s="16"/>
      <c r="L19" s="618"/>
      <c r="M19" s="618"/>
      <c r="N19" s="618"/>
      <c r="O19" s="24"/>
    </row>
    <row r="20" spans="2:16" ht="15">
      <c r="B20" s="15"/>
      <c r="C20" s="26"/>
      <c r="D20" s="16"/>
      <c r="E20" s="16"/>
      <c r="F20" s="16"/>
      <c r="G20" s="16"/>
      <c r="H20" s="16"/>
      <c r="I20" s="16"/>
      <c r="J20" s="16"/>
      <c r="K20" s="29"/>
      <c r="L20" s="610" t="s">
        <v>17</v>
      </c>
      <c r="M20" s="610"/>
      <c r="N20" s="610"/>
      <c r="O20" s="24"/>
    </row>
    <row r="21" spans="2:16" ht="15.75">
      <c r="B21" s="15"/>
      <c r="C21" s="23" t="s">
        <v>18</v>
      </c>
      <c r="D21" s="23"/>
      <c r="E21" s="23"/>
      <c r="F21" s="23"/>
      <c r="G21" s="23"/>
      <c r="H21" s="23"/>
      <c r="I21" s="23"/>
      <c r="J21" s="23"/>
      <c r="K21" s="16"/>
      <c r="L21" s="16"/>
      <c r="M21" s="611">
        <v>43432</v>
      </c>
      <c r="N21" s="611"/>
      <c r="O21" s="24"/>
      <c r="P21" s="23"/>
    </row>
    <row r="22" spans="2:16" ht="15.75">
      <c r="B22" s="15"/>
      <c r="C22" s="30"/>
      <c r="D22" s="30"/>
      <c r="E22" s="30"/>
      <c r="F22" s="30"/>
      <c r="G22" s="30"/>
      <c r="H22" s="30"/>
      <c r="I22" s="30"/>
      <c r="J22" s="30"/>
      <c r="K22" s="16"/>
      <c r="L22" s="16"/>
      <c r="M22" s="612" t="s">
        <v>19</v>
      </c>
      <c r="N22" s="612"/>
      <c r="O22" s="24"/>
    </row>
    <row r="23" spans="2:16" ht="15.75">
      <c r="B23" s="15"/>
      <c r="C23" s="30" t="s">
        <v>20</v>
      </c>
      <c r="D23" s="30"/>
      <c r="E23" s="30"/>
      <c r="F23" s="30"/>
      <c r="G23" s="30"/>
      <c r="H23" s="30"/>
      <c r="I23" s="30"/>
      <c r="J23" s="30"/>
      <c r="K23" s="30"/>
      <c r="L23" s="30"/>
      <c r="M23" s="30"/>
      <c r="N23" s="30"/>
      <c r="O23" s="24"/>
    </row>
    <row r="24" spans="2:16" ht="15.75">
      <c r="B24" s="15"/>
      <c r="C24" s="30"/>
      <c r="D24" s="30"/>
      <c r="E24" s="30"/>
      <c r="F24" s="30"/>
      <c r="G24" s="30"/>
      <c r="H24" s="30"/>
      <c r="I24" s="30"/>
      <c r="J24" s="30"/>
      <c r="K24" s="30"/>
      <c r="L24" s="30"/>
      <c r="M24" s="30"/>
      <c r="N24" s="30"/>
      <c r="O24" s="24"/>
    </row>
    <row r="25" spans="2:16" ht="15.75">
      <c r="B25" s="15"/>
      <c r="C25" s="30"/>
      <c r="D25" s="30"/>
      <c r="E25" s="30"/>
      <c r="F25" s="30"/>
      <c r="G25" s="30"/>
      <c r="H25" s="30"/>
      <c r="I25" s="30"/>
      <c r="J25" s="30"/>
      <c r="K25" s="30"/>
      <c r="L25" s="30"/>
      <c r="M25" s="30"/>
      <c r="N25" s="30"/>
      <c r="O25" s="24"/>
    </row>
    <row r="26" spans="2:16" ht="15.75">
      <c r="B26" s="15"/>
      <c r="C26" s="30"/>
      <c r="D26" s="30"/>
      <c r="E26" s="30"/>
      <c r="F26" s="30"/>
      <c r="G26" s="30"/>
      <c r="H26" s="30"/>
      <c r="I26" s="30"/>
      <c r="J26" s="30"/>
      <c r="K26" s="30"/>
      <c r="L26" s="30"/>
      <c r="M26" s="30"/>
      <c r="N26" s="30"/>
      <c r="O26" s="24"/>
    </row>
    <row r="27" spans="2:16" ht="15.75">
      <c r="B27" s="15"/>
      <c r="C27" s="30"/>
      <c r="D27" s="30"/>
      <c r="E27" s="30"/>
      <c r="F27" s="30"/>
      <c r="G27" s="30"/>
      <c r="H27" s="30"/>
      <c r="I27" s="30"/>
      <c r="J27" s="30"/>
      <c r="K27" s="30"/>
      <c r="L27" s="30"/>
      <c r="M27" s="30"/>
      <c r="N27" s="30"/>
      <c r="O27" s="24"/>
    </row>
    <row r="28" spans="2:16" ht="15.75">
      <c r="B28" s="15"/>
      <c r="C28" s="30"/>
      <c r="D28" s="30"/>
      <c r="E28" s="30"/>
      <c r="F28" s="30"/>
      <c r="G28" s="30"/>
      <c r="H28" s="30"/>
      <c r="I28" s="30"/>
      <c r="J28" s="30"/>
      <c r="K28" s="30"/>
      <c r="L28" s="30"/>
      <c r="M28" s="30"/>
      <c r="N28" s="30"/>
      <c r="O28" s="24"/>
    </row>
    <row r="29" spans="2:16" ht="15.75">
      <c r="B29" s="15"/>
      <c r="C29" s="30" t="s">
        <v>22</v>
      </c>
      <c r="D29" s="30"/>
      <c r="E29" s="30"/>
      <c r="F29" s="30"/>
      <c r="G29" s="30"/>
      <c r="H29" s="30"/>
      <c r="I29" s="30"/>
      <c r="J29" s="30"/>
      <c r="K29" s="30"/>
      <c r="L29" s="30"/>
      <c r="M29" s="30"/>
      <c r="N29" s="30"/>
      <c r="O29" s="24"/>
    </row>
    <row r="30" spans="2:16" ht="15.75">
      <c r="B30" s="15"/>
      <c r="C30" s="30"/>
      <c r="D30" s="30"/>
      <c r="E30" s="30"/>
      <c r="F30" s="30"/>
      <c r="G30" s="30"/>
      <c r="H30" s="30"/>
      <c r="I30" s="30"/>
      <c r="J30" s="30"/>
      <c r="K30" s="30"/>
      <c r="L30" s="30"/>
      <c r="M30" s="30"/>
      <c r="N30" s="30"/>
      <c r="O30" s="24"/>
    </row>
    <row r="31" spans="2:16" ht="15.75">
      <c r="B31" s="15"/>
      <c r="C31" s="30"/>
      <c r="D31" s="30"/>
      <c r="E31" s="30"/>
      <c r="F31" s="30"/>
      <c r="G31" s="30"/>
      <c r="H31" s="30"/>
      <c r="I31" s="30"/>
      <c r="J31" s="30"/>
      <c r="K31" s="30"/>
      <c r="L31" s="30"/>
      <c r="M31" s="30"/>
      <c r="N31" s="30"/>
      <c r="O31" s="24"/>
    </row>
    <row r="32" spans="2:16" ht="15.75">
      <c r="B32" s="15"/>
      <c r="C32" s="30"/>
      <c r="D32" s="613" t="s">
        <v>273</v>
      </c>
      <c r="E32" s="613"/>
      <c r="F32" s="613"/>
      <c r="G32" s="30"/>
      <c r="H32" s="30"/>
      <c r="I32" s="30"/>
      <c r="J32" s="30"/>
      <c r="K32" s="30"/>
      <c r="L32" s="30"/>
      <c r="M32" s="30"/>
      <c r="N32" s="30"/>
      <c r="O32" s="24"/>
    </row>
    <row r="33" spans="2:15" ht="15.75">
      <c r="B33" s="15"/>
      <c r="C33" s="30"/>
      <c r="D33" s="614" t="s">
        <v>23</v>
      </c>
      <c r="E33" s="614"/>
      <c r="F33" s="614"/>
      <c r="G33" s="30"/>
      <c r="H33" s="30"/>
      <c r="I33" s="30"/>
      <c r="J33" s="30"/>
      <c r="K33" s="30"/>
      <c r="L33" s="30"/>
      <c r="M33" s="30"/>
      <c r="N33" s="30"/>
      <c r="O33" s="24"/>
    </row>
    <row r="34" spans="2:15" ht="15.75">
      <c r="B34" s="15"/>
      <c r="C34" s="30"/>
      <c r="D34" s="30"/>
      <c r="E34" s="30"/>
      <c r="F34" s="30"/>
      <c r="G34" s="30"/>
      <c r="H34" s="30"/>
      <c r="I34" s="30"/>
      <c r="J34" s="30"/>
      <c r="K34" s="30"/>
      <c r="L34" s="30"/>
      <c r="M34" s="30"/>
      <c r="N34" s="30"/>
      <c r="O34" s="24"/>
    </row>
    <row r="35" spans="2:15" ht="15.75">
      <c r="B35" s="15"/>
      <c r="C35" s="30"/>
      <c r="D35" s="30"/>
      <c r="E35" s="32" t="s">
        <v>24</v>
      </c>
      <c r="F35" s="33"/>
      <c r="G35" s="609"/>
      <c r="H35" s="609"/>
      <c r="I35" s="609"/>
      <c r="J35" s="609"/>
      <c r="K35" s="609"/>
      <c r="L35" s="30"/>
      <c r="M35" s="30"/>
      <c r="N35" s="30"/>
      <c r="O35" s="24"/>
    </row>
    <row r="36" spans="2:15" ht="15.75">
      <c r="B36" s="15"/>
      <c r="C36" s="30"/>
      <c r="D36" s="30"/>
      <c r="E36" s="32" t="s">
        <v>25</v>
      </c>
      <c r="F36" s="34"/>
      <c r="G36" s="607"/>
      <c r="H36" s="607"/>
      <c r="I36" s="607"/>
      <c r="J36" s="607"/>
      <c r="K36" s="607"/>
      <c r="L36" s="30"/>
      <c r="M36" s="30"/>
      <c r="N36" s="30"/>
      <c r="O36" s="24"/>
    </row>
    <row r="37" spans="2:15" ht="15.75">
      <c r="B37" s="15"/>
      <c r="C37" s="30"/>
      <c r="D37" s="30"/>
      <c r="E37" s="32" t="s">
        <v>26</v>
      </c>
      <c r="F37" s="34"/>
      <c r="G37" s="608"/>
      <c r="H37" s="608"/>
      <c r="I37" s="608"/>
      <c r="J37" s="608"/>
      <c r="K37" s="608"/>
      <c r="L37" s="30"/>
      <c r="M37" s="30"/>
      <c r="N37" s="30"/>
      <c r="O37" s="24"/>
    </row>
    <row r="38" spans="2:15" ht="15.75">
      <c r="B38" s="15"/>
      <c r="C38" s="30"/>
      <c r="D38" s="30"/>
      <c r="E38" s="16"/>
      <c r="F38" s="16"/>
      <c r="G38" s="35"/>
      <c r="H38" s="35"/>
      <c r="I38" s="35"/>
      <c r="J38" s="35"/>
      <c r="K38" s="35"/>
      <c r="L38" s="30"/>
      <c r="M38" s="30"/>
      <c r="N38" s="30"/>
      <c r="O38" s="24"/>
    </row>
    <row r="39" spans="2:15" ht="15.75">
      <c r="B39" s="15"/>
      <c r="C39" s="30"/>
      <c r="D39" s="30"/>
      <c r="E39" s="32" t="s">
        <v>27</v>
      </c>
      <c r="F39" s="33"/>
      <c r="G39" s="609"/>
      <c r="H39" s="609"/>
      <c r="I39" s="609"/>
      <c r="J39" s="609"/>
      <c r="K39" s="609"/>
      <c r="L39" s="30"/>
      <c r="M39" s="30"/>
      <c r="N39" s="30"/>
      <c r="O39" s="24"/>
    </row>
    <row r="40" spans="2:15" ht="16.5" thickBot="1">
      <c r="B40" s="36"/>
      <c r="C40" s="37"/>
      <c r="D40" s="37"/>
      <c r="E40" s="37"/>
      <c r="F40" s="37"/>
      <c r="G40" s="37"/>
      <c r="H40" s="37"/>
      <c r="I40" s="37"/>
      <c r="J40" s="37"/>
      <c r="K40" s="37"/>
      <c r="L40" s="37"/>
      <c r="M40" s="37"/>
      <c r="N40" s="37"/>
      <c r="O40" s="38"/>
    </row>
    <row r="41" spans="2:15" ht="15.75">
      <c r="B41" s="4"/>
      <c r="C41" s="39"/>
      <c r="D41" s="39"/>
      <c r="E41" s="39"/>
      <c r="F41" s="39"/>
      <c r="G41" s="39"/>
      <c r="H41" s="39"/>
      <c r="I41" s="39"/>
      <c r="J41" s="39"/>
      <c r="K41" s="39"/>
      <c r="L41" s="39"/>
      <c r="M41" s="39"/>
      <c r="N41" s="39"/>
    </row>
  </sheetData>
  <mergeCells count="32">
    <mergeCell ref="C9:D9"/>
    <mergeCell ref="E9:H9"/>
    <mergeCell ref="L9:N9"/>
    <mergeCell ref="G2:K3"/>
    <mergeCell ref="C5:D5"/>
    <mergeCell ref="E5:H5"/>
    <mergeCell ref="L5:N5"/>
    <mergeCell ref="C6:D6"/>
    <mergeCell ref="E6:H6"/>
    <mergeCell ref="L6:N6"/>
    <mergeCell ref="C7:D7"/>
    <mergeCell ref="E7:H7"/>
    <mergeCell ref="L7:N7"/>
    <mergeCell ref="E8:H8"/>
    <mergeCell ref="L8:N8"/>
    <mergeCell ref="D32:F32"/>
    <mergeCell ref="D33:F33"/>
    <mergeCell ref="G35:K35"/>
    <mergeCell ref="F13:H13"/>
    <mergeCell ref="F14:H14"/>
    <mergeCell ref="C15:N15"/>
    <mergeCell ref="C17:F17"/>
    <mergeCell ref="H17:M17"/>
    <mergeCell ref="C18:F18"/>
    <mergeCell ref="H18:K18"/>
    <mergeCell ref="L18:N19"/>
    <mergeCell ref="G36:K36"/>
    <mergeCell ref="G37:K37"/>
    <mergeCell ref="G39:K39"/>
    <mergeCell ref="L20:N20"/>
    <mergeCell ref="M21:N21"/>
    <mergeCell ref="M22:N22"/>
  </mergeCells>
  <pageMargins left="0.31496062992125984" right="0.11811023622047245" top="0.74803149606299213" bottom="0.74803149606299213" header="0.31496062992125984" footer="0.31496062992125984"/>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FF0000"/>
  </sheetPr>
  <dimension ref="A1:R46"/>
  <sheetViews>
    <sheetView workbookViewId="0"/>
  </sheetViews>
  <sheetFormatPr baseColWidth="10" defaultColWidth="9" defaultRowHeight="12.75"/>
  <cols>
    <col min="1" max="1" width="1.28515625" style="1" customWidth="1"/>
    <col min="2" max="2" width="1.7109375" style="1" customWidth="1"/>
    <col min="3" max="3" width="2.28515625" style="1" customWidth="1"/>
    <col min="4" max="4" width="7.28515625" style="1" customWidth="1"/>
    <col min="5" max="5" width="9" style="1" customWidth="1"/>
    <col min="6" max="6" width="11.85546875" style="1" customWidth="1"/>
    <col min="7" max="7" width="9" style="1" customWidth="1"/>
    <col min="8" max="8" width="4" style="1" customWidth="1"/>
    <col min="9" max="9" width="2" style="1" customWidth="1"/>
    <col min="10" max="10" width="5.85546875" style="1" customWidth="1"/>
    <col min="11" max="11" width="8.5703125" style="1" customWidth="1"/>
    <col min="12" max="12" width="3.28515625" style="1" customWidth="1"/>
    <col min="13" max="13" width="12.7109375" style="1" customWidth="1"/>
    <col min="14" max="14" width="16.5703125" style="1" customWidth="1"/>
    <col min="15" max="15" width="3.28515625" style="1" customWidth="1"/>
    <col min="16" max="16" width="0.85546875" style="1" customWidth="1"/>
  </cols>
  <sheetData>
    <row r="1" spans="2:18" ht="15.75" thickBot="1">
      <c r="B1" s="2"/>
      <c r="C1" s="2"/>
      <c r="D1" s="2"/>
      <c r="E1" s="2"/>
      <c r="F1" s="2"/>
      <c r="G1" s="2"/>
      <c r="H1" s="2"/>
      <c r="I1" s="2"/>
      <c r="J1" s="2"/>
      <c r="K1" s="2"/>
      <c r="L1" s="2"/>
      <c r="M1" s="2"/>
      <c r="N1" s="2"/>
      <c r="O1" s="2"/>
    </row>
    <row r="2" spans="2:18" ht="21">
      <c r="B2" s="3"/>
      <c r="C2" s="4"/>
      <c r="D2" s="4"/>
      <c r="E2" s="4"/>
      <c r="F2" s="4"/>
      <c r="G2" s="625" t="s">
        <v>0</v>
      </c>
      <c r="H2" s="625"/>
      <c r="I2" s="625"/>
      <c r="J2" s="625"/>
      <c r="K2" s="625"/>
      <c r="L2" s="5"/>
      <c r="M2" s="207" t="s">
        <v>1</v>
      </c>
      <c r="N2" s="6" t="s">
        <v>2</v>
      </c>
      <c r="O2" s="7"/>
      <c r="P2" s="8"/>
    </row>
    <row r="3" spans="2:18" ht="16.5" thickBot="1">
      <c r="B3" s="10"/>
      <c r="C3" s="11"/>
      <c r="D3" s="11"/>
      <c r="E3" s="11"/>
      <c r="F3" s="11"/>
      <c r="G3" s="626"/>
      <c r="H3" s="626"/>
      <c r="I3" s="626"/>
      <c r="J3" s="626"/>
      <c r="K3" s="626"/>
      <c r="L3" s="12"/>
      <c r="M3" s="208" t="s">
        <v>3</v>
      </c>
      <c r="N3" s="13">
        <v>42917</v>
      </c>
      <c r="O3" s="14"/>
      <c r="P3" s="9"/>
    </row>
    <row r="4" spans="2:18" ht="15.75">
      <c r="B4" s="15"/>
      <c r="C4" s="16"/>
      <c r="D4" s="16"/>
      <c r="E4" s="16"/>
      <c r="F4" s="16"/>
      <c r="G4" s="17"/>
      <c r="H4" s="17"/>
      <c r="I4" s="17"/>
      <c r="J4" s="17"/>
      <c r="K4" s="17"/>
      <c r="L4" s="18"/>
      <c r="M4" s="19"/>
      <c r="N4" s="20"/>
      <c r="O4" s="21"/>
      <c r="P4" s="9"/>
    </row>
    <row r="5" spans="2:18" ht="15.75">
      <c r="B5" s="22"/>
      <c r="C5" s="627" t="s">
        <v>4</v>
      </c>
      <c r="D5" s="627"/>
      <c r="E5" s="609" t="str">
        <f>'NOR (MOGAS)'!E5</f>
        <v>Barge ATLANTIS</v>
      </c>
      <c r="F5" s="609"/>
      <c r="G5" s="609"/>
      <c r="H5" s="609"/>
      <c r="I5" s="23"/>
      <c r="J5" s="23" t="s">
        <v>5</v>
      </c>
      <c r="K5" s="23"/>
      <c r="L5" s="628" t="s">
        <v>6</v>
      </c>
      <c r="M5" s="629"/>
      <c r="N5" s="629"/>
      <c r="O5" s="24"/>
    </row>
    <row r="6" spans="2:18" ht="15.75">
      <c r="B6" s="22"/>
      <c r="C6" s="621"/>
      <c r="D6" s="621"/>
      <c r="E6" s="622" t="str">
        <f>NOR!B5</f>
        <v/>
      </c>
      <c r="F6" s="622"/>
      <c r="G6" s="622"/>
      <c r="H6" s="622"/>
      <c r="I6" s="23"/>
      <c r="J6" s="23" t="s">
        <v>7</v>
      </c>
      <c r="K6" s="23"/>
      <c r="L6" s="630">
        <f>NOR!P5</f>
        <v>0</v>
      </c>
      <c r="M6" s="631"/>
      <c r="N6" s="631"/>
      <c r="O6" s="24"/>
    </row>
    <row r="7" spans="2:18" ht="15.75">
      <c r="B7" s="22"/>
      <c r="C7" s="621"/>
      <c r="D7" s="621"/>
      <c r="E7" s="622" t="str">
        <f>IF(NOR!B6="","",NOR!B6)</f>
        <v/>
      </c>
      <c r="F7" s="622"/>
      <c r="G7" s="622"/>
      <c r="H7" s="622"/>
      <c r="I7" s="23"/>
      <c r="J7" s="23" t="s">
        <v>8</v>
      </c>
      <c r="K7" s="23"/>
      <c r="L7" s="630" t="str">
        <f>NOR!P6</f>
        <v/>
      </c>
      <c r="M7" s="631"/>
      <c r="N7" s="631"/>
      <c r="O7" s="24"/>
    </row>
    <row r="8" spans="2:18" ht="15.75">
      <c r="B8" s="22"/>
      <c r="C8" s="233"/>
      <c r="D8" s="233"/>
      <c r="E8" s="632" t="str">
        <f>IF(NOR!B7="","",NOR!B7)</f>
        <v/>
      </c>
      <c r="F8" s="622"/>
      <c r="G8" s="622"/>
      <c r="H8" s="622"/>
      <c r="I8" s="23"/>
      <c r="J8" s="23" t="s">
        <v>9</v>
      </c>
      <c r="K8" s="23"/>
      <c r="L8" s="633" t="str">
        <f>NOR!P7</f>
        <v/>
      </c>
      <c r="M8" s="634"/>
      <c r="N8" s="634"/>
      <c r="O8" s="24"/>
    </row>
    <row r="9" spans="2:18" ht="15.75">
      <c r="B9" s="22"/>
      <c r="C9" s="621"/>
      <c r="D9" s="621"/>
      <c r="E9" s="632" t="e">
        <f>IF(NOR!#REF!="","",NOR!#REF!)</f>
        <v>#REF!</v>
      </c>
      <c r="F9" s="622"/>
      <c r="G9" s="622"/>
      <c r="H9" s="622"/>
      <c r="I9" s="23"/>
      <c r="J9" s="16"/>
      <c r="K9" s="23"/>
      <c r="L9" s="623"/>
      <c r="M9" s="624"/>
      <c r="N9" s="624"/>
      <c r="O9" s="24"/>
    </row>
    <row r="10" spans="2:18" ht="15.75">
      <c r="B10" s="15"/>
      <c r="C10" s="23"/>
      <c r="D10" s="23"/>
      <c r="E10" s="23"/>
      <c r="F10" s="23"/>
      <c r="G10" s="23"/>
      <c r="H10" s="23"/>
      <c r="I10" s="23"/>
      <c r="J10" s="23"/>
      <c r="K10" s="23"/>
      <c r="L10" s="23"/>
      <c r="M10" s="23"/>
      <c r="N10" s="25"/>
      <c r="O10" s="24"/>
    </row>
    <row r="11" spans="2:18" ht="15.75">
      <c r="B11" s="15"/>
      <c r="C11" s="26"/>
      <c r="D11" s="23"/>
      <c r="E11" s="23"/>
      <c r="F11" s="23"/>
      <c r="G11" s="23"/>
      <c r="H11" s="23"/>
      <c r="I11" s="23"/>
      <c r="J11" s="23"/>
      <c r="K11" s="23"/>
      <c r="L11" s="23"/>
      <c r="M11" s="23"/>
      <c r="N11" s="25"/>
      <c r="O11" s="24"/>
    </row>
    <row r="12" spans="2:18" ht="15.75">
      <c r="B12" s="15"/>
      <c r="C12" s="26" t="s">
        <v>10</v>
      </c>
      <c r="D12" s="23"/>
      <c r="E12" s="23"/>
      <c r="F12" s="23"/>
      <c r="G12" s="23"/>
      <c r="H12" s="23"/>
      <c r="I12" s="23"/>
      <c r="J12" s="23"/>
      <c r="K12" s="23"/>
      <c r="L12" s="23"/>
      <c r="M12" s="25"/>
      <c r="N12" s="25"/>
      <c r="O12" s="24"/>
    </row>
    <row r="13" spans="2:18" ht="15.75">
      <c r="B13" s="15"/>
      <c r="C13" s="27" t="s">
        <v>11</v>
      </c>
      <c r="D13" s="23"/>
      <c r="E13" s="23"/>
      <c r="F13" s="615" t="s">
        <v>12</v>
      </c>
      <c r="G13" s="615"/>
      <c r="H13" s="615"/>
      <c r="I13" s="28"/>
      <c r="J13" s="23">
        <f>NOR!K13</f>
        <v>0</v>
      </c>
      <c r="K13" s="23"/>
      <c r="L13" s="206"/>
      <c r="M13" s="25"/>
      <c r="N13" s="25"/>
      <c r="O13" s="24"/>
      <c r="R13" t="s">
        <v>276</v>
      </c>
    </row>
    <row r="14" spans="2:18" ht="15.75">
      <c r="B14" s="15"/>
      <c r="C14" s="27"/>
      <c r="D14" s="23"/>
      <c r="E14" s="23"/>
      <c r="F14" s="639" t="s">
        <v>13</v>
      </c>
      <c r="G14" s="639"/>
      <c r="H14" s="639"/>
      <c r="I14" s="639"/>
      <c r="J14" s="23"/>
      <c r="K14" s="23"/>
      <c r="L14" s="206"/>
      <c r="M14" s="25"/>
      <c r="N14" s="25"/>
      <c r="O14" s="24"/>
    </row>
    <row r="15" spans="2:18" ht="15.75">
      <c r="B15" s="15"/>
      <c r="C15" s="27" t="e">
        <f>NOR!#REF!</f>
        <v>#REF!</v>
      </c>
      <c r="D15" s="23"/>
      <c r="E15" s="23"/>
      <c r="F15" s="206"/>
      <c r="G15" s="206"/>
      <c r="H15" s="206"/>
      <c r="I15" s="23"/>
      <c r="J15" s="23"/>
      <c r="K15" s="23"/>
      <c r="L15" s="206"/>
      <c r="M15" s="25"/>
      <c r="N15" s="25"/>
      <c r="O15" s="24"/>
    </row>
    <row r="16" spans="2:18" ht="35.25" customHeight="1">
      <c r="B16" s="15"/>
      <c r="C16" s="618">
        <f>NOR!B15</f>
        <v>0</v>
      </c>
      <c r="D16" s="618"/>
      <c r="E16" s="618"/>
      <c r="F16" s="618"/>
      <c r="G16" s="206" t="s">
        <v>14</v>
      </c>
      <c r="H16" s="615">
        <f>NOR!K15</f>
        <v>0</v>
      </c>
      <c r="I16" s="615"/>
      <c r="J16" s="615"/>
      <c r="K16" s="615"/>
      <c r="L16" s="615"/>
      <c r="M16" s="615"/>
      <c r="N16" s="25"/>
      <c r="O16" s="24"/>
    </row>
    <row r="17" spans="2:16" ht="15.75">
      <c r="B17" s="15"/>
      <c r="C17" s="612" t="s">
        <v>15</v>
      </c>
      <c r="D17" s="612"/>
      <c r="E17" s="612"/>
      <c r="F17" s="612"/>
      <c r="G17" s="23"/>
      <c r="H17" s="612" t="s">
        <v>16</v>
      </c>
      <c r="I17" s="612"/>
      <c r="J17" s="612"/>
      <c r="K17" s="612"/>
      <c r="L17" s="620" t="str">
        <f>'NOR (MOGAS)'!L18</f>
        <v>ACAP 4300 MT of GASOLINE</v>
      </c>
      <c r="M17" s="620"/>
      <c r="N17" s="620"/>
      <c r="O17" s="24"/>
    </row>
    <row r="18" spans="2:16" ht="50.25" customHeight="1">
      <c r="B18" s="15"/>
      <c r="C18" s="26" t="s">
        <v>30</v>
      </c>
      <c r="D18" s="16"/>
      <c r="E18" s="16"/>
      <c r="F18" s="16"/>
      <c r="G18" s="16"/>
      <c r="H18" s="16"/>
      <c r="I18" s="16"/>
      <c r="J18" s="16"/>
      <c r="K18" s="16"/>
      <c r="L18" s="618"/>
      <c r="M18" s="618"/>
      <c r="N18" s="618"/>
      <c r="O18" s="24"/>
    </row>
    <row r="19" spans="2:16" ht="15">
      <c r="B19" s="15"/>
      <c r="C19" s="26"/>
      <c r="D19" s="16"/>
      <c r="E19" s="16"/>
      <c r="F19" s="16"/>
      <c r="G19" s="16"/>
      <c r="H19" s="16"/>
      <c r="I19" s="16"/>
      <c r="J19" s="16"/>
      <c r="K19" s="29"/>
      <c r="L19" s="610" t="s">
        <v>17</v>
      </c>
      <c r="M19" s="610"/>
      <c r="N19" s="610"/>
      <c r="O19" s="24"/>
    </row>
    <row r="20" spans="2:16" ht="15.75">
      <c r="B20" s="15"/>
      <c r="C20" s="23" t="s">
        <v>18</v>
      </c>
      <c r="D20" s="23"/>
      <c r="E20" s="23"/>
      <c r="F20" s="23"/>
      <c r="G20" s="23"/>
      <c r="H20" s="23"/>
      <c r="I20" s="23"/>
      <c r="J20" s="23"/>
      <c r="K20" s="16"/>
      <c r="L20" s="16"/>
      <c r="M20" s="611">
        <f>NOR!P20</f>
        <v>0</v>
      </c>
      <c r="N20" s="611"/>
      <c r="O20" s="24"/>
      <c r="P20" s="23"/>
    </row>
    <row r="21" spans="2:16" ht="15.75">
      <c r="B21" s="15"/>
      <c r="C21" s="30"/>
      <c r="D21" s="30"/>
      <c r="E21" s="30"/>
      <c r="F21" s="30"/>
      <c r="G21" s="30"/>
      <c r="H21" s="30"/>
      <c r="I21" s="30"/>
      <c r="J21" s="30"/>
      <c r="K21" s="16"/>
      <c r="L21" s="16"/>
      <c r="M21" s="612" t="s">
        <v>19</v>
      </c>
      <c r="N21" s="612"/>
      <c r="O21" s="24"/>
    </row>
    <row r="22" spans="2:16" ht="15.75">
      <c r="B22" s="15"/>
      <c r="C22" s="30" t="s">
        <v>20</v>
      </c>
      <c r="D22" s="30"/>
      <c r="E22" s="30"/>
      <c r="F22" s="30"/>
      <c r="G22" s="30"/>
      <c r="H22" s="30"/>
      <c r="I22" s="30"/>
      <c r="J22" s="30"/>
      <c r="K22" s="30"/>
      <c r="L22" s="30"/>
      <c r="M22" s="30"/>
      <c r="N22" s="30"/>
      <c r="O22" s="24"/>
    </row>
    <row r="23" spans="2:16" ht="15.75">
      <c r="B23" s="15"/>
      <c r="C23" s="30"/>
      <c r="D23" s="30"/>
      <c r="E23" s="30"/>
      <c r="F23" s="30"/>
      <c r="G23" s="30"/>
      <c r="H23" s="30"/>
      <c r="I23" s="30"/>
      <c r="J23" s="30"/>
      <c r="K23" s="30"/>
      <c r="L23" s="30"/>
      <c r="M23" s="30"/>
      <c r="N23" s="30"/>
      <c r="O23" s="24"/>
    </row>
    <row r="24" spans="2:16" ht="7.5" customHeight="1">
      <c r="B24" s="15"/>
      <c r="C24" s="30"/>
      <c r="D24" s="30"/>
      <c r="E24" s="30"/>
      <c r="F24" s="30"/>
      <c r="G24" s="30"/>
      <c r="H24" s="30"/>
      <c r="I24" s="30"/>
      <c r="J24" s="30"/>
      <c r="K24" s="30"/>
      <c r="L24" s="30"/>
      <c r="M24" s="30"/>
      <c r="N24" s="30"/>
      <c r="O24" s="24"/>
    </row>
    <row r="25" spans="2:16" ht="15.75">
      <c r="B25" s="15"/>
      <c r="C25" s="638" t="s">
        <v>21</v>
      </c>
      <c r="D25" s="638"/>
      <c r="E25" s="638"/>
      <c r="F25" s="638"/>
      <c r="G25" s="638"/>
      <c r="H25" s="638"/>
      <c r="I25" s="638"/>
      <c r="J25" s="638"/>
      <c r="K25" s="638"/>
      <c r="L25" s="638"/>
      <c r="M25" s="638"/>
      <c r="N25" s="638"/>
      <c r="O25" s="24"/>
    </row>
    <row r="26" spans="2:16" ht="15.75" customHeight="1">
      <c r="B26" s="15"/>
      <c r="C26" s="31"/>
      <c r="D26" s="635" t="s">
        <v>321</v>
      </c>
      <c r="E26" s="635"/>
      <c r="F26" s="635"/>
      <c r="G26" s="635"/>
      <c r="H26" s="636"/>
      <c r="I26" s="636"/>
      <c r="J26" s="636"/>
      <c r="K26" s="637" t="s">
        <v>252</v>
      </c>
      <c r="L26" s="637"/>
      <c r="M26" s="637"/>
      <c r="N26" s="637"/>
      <c r="O26" s="24"/>
    </row>
    <row r="27" spans="2:16" ht="15.75" customHeight="1">
      <c r="B27" s="15"/>
      <c r="C27" s="31"/>
      <c r="D27" s="635" t="s">
        <v>323</v>
      </c>
      <c r="E27" s="635"/>
      <c r="F27" s="635"/>
      <c r="G27" s="635"/>
      <c r="H27" s="636"/>
      <c r="I27" s="636"/>
      <c r="J27" s="636"/>
      <c r="K27" s="637" t="s">
        <v>324</v>
      </c>
      <c r="L27" s="637"/>
      <c r="M27" s="637"/>
      <c r="N27" s="637"/>
      <c r="O27" s="24"/>
    </row>
    <row r="28" spans="2:16" ht="15.75" customHeight="1">
      <c r="B28" s="15"/>
      <c r="C28" s="31"/>
      <c r="D28" s="635"/>
      <c r="E28" s="635"/>
      <c r="F28" s="635"/>
      <c r="G28" s="635"/>
      <c r="H28" s="636"/>
      <c r="I28" s="636"/>
      <c r="J28" s="636"/>
      <c r="K28" s="637"/>
      <c r="L28" s="637"/>
      <c r="M28" s="637"/>
      <c r="N28" s="637"/>
      <c r="O28" s="24"/>
    </row>
    <row r="29" spans="2:16" ht="15.75">
      <c r="B29" s="15"/>
      <c r="C29" s="31"/>
      <c r="D29" s="635"/>
      <c r="E29" s="635"/>
      <c r="F29" s="635"/>
      <c r="G29" s="635"/>
      <c r="H29" s="636"/>
      <c r="I29" s="636"/>
      <c r="J29" s="636"/>
      <c r="K29" s="637"/>
      <c r="L29" s="637"/>
      <c r="M29" s="637"/>
      <c r="N29" s="637"/>
      <c r="O29" s="24"/>
    </row>
    <row r="30" spans="2:16" ht="15.75" customHeight="1">
      <c r="B30" s="15"/>
      <c r="C30" s="31"/>
      <c r="D30" s="635"/>
      <c r="E30" s="635"/>
      <c r="F30" s="635"/>
      <c r="G30" s="635"/>
      <c r="H30" s="636"/>
      <c r="I30" s="636"/>
      <c r="J30" s="636"/>
      <c r="K30" s="637"/>
      <c r="L30" s="637"/>
      <c r="M30" s="637"/>
      <c r="N30" s="637"/>
      <c r="O30" s="24"/>
    </row>
    <row r="31" spans="2:16" ht="15.75" customHeight="1">
      <c r="B31" s="15"/>
      <c r="C31" s="31"/>
      <c r="D31" s="635"/>
      <c r="E31" s="635"/>
      <c r="F31" s="635"/>
      <c r="G31" s="635"/>
      <c r="H31" s="636"/>
      <c r="I31" s="636"/>
      <c r="J31" s="636"/>
      <c r="K31" s="637"/>
      <c r="L31" s="637"/>
      <c r="M31" s="637"/>
      <c r="N31" s="637"/>
      <c r="O31" s="24"/>
    </row>
    <row r="32" spans="2:16" ht="15.75">
      <c r="B32" s="15"/>
      <c r="C32" s="30"/>
      <c r="D32" s="635"/>
      <c r="E32" s="635"/>
      <c r="F32" s="635"/>
      <c r="G32" s="635"/>
      <c r="H32" s="30"/>
      <c r="I32" s="30"/>
      <c r="J32" s="30"/>
      <c r="K32" s="637"/>
      <c r="L32" s="637"/>
      <c r="M32" s="637"/>
      <c r="N32" s="637"/>
      <c r="O32" s="24"/>
    </row>
    <row r="33" spans="2:15" ht="15.75">
      <c r="B33" s="15"/>
      <c r="C33" s="30"/>
      <c r="D33" s="30"/>
      <c r="E33" s="30"/>
      <c r="F33" s="30"/>
      <c r="G33" s="30"/>
      <c r="H33" s="30"/>
      <c r="I33" s="30"/>
      <c r="J33" s="30"/>
      <c r="K33" s="234"/>
      <c r="L33" s="234"/>
      <c r="M33" s="234"/>
      <c r="N33" s="234"/>
      <c r="O33" s="24"/>
    </row>
    <row r="34" spans="2:15" ht="15.75">
      <c r="B34" s="15"/>
      <c r="C34" s="30" t="s">
        <v>22</v>
      </c>
      <c r="D34" s="30"/>
      <c r="E34" s="30"/>
      <c r="F34" s="30"/>
      <c r="G34" s="30"/>
      <c r="H34" s="30"/>
      <c r="I34" s="30"/>
      <c r="J34" s="30"/>
      <c r="K34" s="30"/>
      <c r="L34" s="30"/>
      <c r="M34" s="30"/>
      <c r="N34" s="30"/>
      <c r="O34" s="24"/>
    </row>
    <row r="35" spans="2:15" ht="15.75">
      <c r="B35" s="15"/>
      <c r="C35" s="30"/>
      <c r="D35" s="30"/>
      <c r="E35" s="30"/>
      <c r="F35" s="30"/>
      <c r="G35" s="30"/>
      <c r="H35" s="30"/>
      <c r="I35" s="30"/>
      <c r="J35" s="30"/>
      <c r="K35" s="30"/>
      <c r="L35" s="30"/>
      <c r="M35" s="30"/>
      <c r="N35" s="30"/>
      <c r="O35" s="24"/>
    </row>
    <row r="36" spans="2:15" ht="15.75">
      <c r="B36" s="15"/>
      <c r="C36" s="30"/>
      <c r="D36" s="30"/>
      <c r="E36" s="30"/>
      <c r="F36" s="30"/>
      <c r="G36" s="30"/>
      <c r="H36" s="30"/>
      <c r="I36" s="30"/>
      <c r="J36" s="30"/>
      <c r="K36" s="30"/>
      <c r="L36" s="30"/>
      <c r="M36" s="30"/>
      <c r="N36" s="30"/>
      <c r="O36" s="24"/>
    </row>
    <row r="37" spans="2:15" ht="15.75">
      <c r="B37" s="15"/>
      <c r="C37" s="30"/>
      <c r="D37" s="613">
        <f>NOR!O33</f>
        <v>0</v>
      </c>
      <c r="E37" s="613"/>
      <c r="F37" s="613"/>
      <c r="G37" s="30"/>
      <c r="H37" s="30"/>
      <c r="I37" s="30"/>
      <c r="J37" s="30"/>
      <c r="K37" s="30"/>
      <c r="L37" s="30"/>
      <c r="M37" s="30"/>
      <c r="N37" s="30"/>
      <c r="O37" s="24"/>
    </row>
    <row r="38" spans="2:15" ht="15.75">
      <c r="B38" s="15"/>
      <c r="C38" s="30"/>
      <c r="D38" s="614" t="s">
        <v>23</v>
      </c>
      <c r="E38" s="614"/>
      <c r="F38" s="614"/>
      <c r="G38" s="30"/>
      <c r="H38" s="30"/>
      <c r="I38" s="30"/>
      <c r="J38" s="30"/>
      <c r="K38" s="30"/>
      <c r="L38" s="30"/>
      <c r="M38" s="30"/>
      <c r="N38" s="30"/>
      <c r="O38" s="24"/>
    </row>
    <row r="39" spans="2:15" ht="15.75">
      <c r="B39" s="15"/>
      <c r="C39" s="30"/>
      <c r="D39" s="30"/>
      <c r="E39" s="30"/>
      <c r="F39" s="30"/>
      <c r="G39" s="30"/>
      <c r="H39" s="30"/>
      <c r="I39" s="30"/>
      <c r="J39" s="30"/>
      <c r="K39" s="30"/>
      <c r="L39" s="30"/>
      <c r="M39" s="30"/>
      <c r="N39" s="30"/>
      <c r="O39" s="24"/>
    </row>
    <row r="40" spans="2:15" ht="15.75">
      <c r="B40" s="15"/>
      <c r="C40" s="30"/>
      <c r="D40" s="30"/>
      <c r="E40" s="32" t="s">
        <v>24</v>
      </c>
      <c r="F40" s="33"/>
      <c r="G40" s="609"/>
      <c r="H40" s="609"/>
      <c r="I40" s="609"/>
      <c r="J40" s="609"/>
      <c r="K40" s="609"/>
      <c r="L40" s="30"/>
      <c r="M40" s="30"/>
      <c r="N40" s="30"/>
      <c r="O40" s="24"/>
    </row>
    <row r="41" spans="2:15" ht="15.75">
      <c r="B41" s="15"/>
      <c r="C41" s="30"/>
      <c r="D41" s="30"/>
      <c r="E41" s="32" t="s">
        <v>25</v>
      </c>
      <c r="F41" s="34"/>
      <c r="G41" s="607"/>
      <c r="H41" s="607"/>
      <c r="I41" s="607"/>
      <c r="J41" s="607"/>
      <c r="K41" s="607"/>
      <c r="L41" s="30"/>
      <c r="M41" s="30"/>
      <c r="N41" s="30"/>
      <c r="O41" s="24"/>
    </row>
    <row r="42" spans="2:15" ht="15.75">
      <c r="B42" s="15"/>
      <c r="C42" s="30"/>
      <c r="D42" s="30"/>
      <c r="E42" s="32" t="s">
        <v>26</v>
      </c>
      <c r="F42" s="34"/>
      <c r="G42" s="608"/>
      <c r="H42" s="608"/>
      <c r="I42" s="608"/>
      <c r="J42" s="608"/>
      <c r="K42" s="608"/>
      <c r="L42" s="30"/>
      <c r="M42" s="30"/>
      <c r="N42" s="30"/>
      <c r="O42" s="24"/>
    </row>
    <row r="43" spans="2:15" ht="15.75">
      <c r="B43" s="15"/>
      <c r="C43" s="30"/>
      <c r="D43" s="30"/>
      <c r="E43" s="16"/>
      <c r="F43" s="16"/>
      <c r="G43" s="35"/>
      <c r="H43" s="35"/>
      <c r="I43" s="35"/>
      <c r="J43" s="35"/>
      <c r="K43" s="35"/>
      <c r="L43" s="30"/>
      <c r="M43" s="30"/>
      <c r="N43" s="30"/>
      <c r="O43" s="24"/>
    </row>
    <row r="44" spans="2:15" ht="15.75">
      <c r="B44" s="15"/>
      <c r="C44" s="30"/>
      <c r="D44" s="30"/>
      <c r="E44" s="32" t="s">
        <v>27</v>
      </c>
      <c r="F44" s="33"/>
      <c r="G44" s="609"/>
      <c r="H44" s="609"/>
      <c r="I44" s="609"/>
      <c r="J44" s="609"/>
      <c r="K44" s="609"/>
      <c r="L44" s="30"/>
      <c r="M44" s="30"/>
      <c r="N44" s="30"/>
      <c r="O44" s="24"/>
    </row>
    <row r="45" spans="2:15" ht="16.5" thickBot="1">
      <c r="B45" s="36"/>
      <c r="C45" s="37"/>
      <c r="D45" s="37"/>
      <c r="E45" s="37"/>
      <c r="F45" s="37"/>
      <c r="G45" s="37"/>
      <c r="H45" s="37"/>
      <c r="I45" s="37"/>
      <c r="J45" s="37"/>
      <c r="K45" s="37"/>
      <c r="L45" s="37"/>
      <c r="M45" s="37"/>
      <c r="N45" s="37"/>
      <c r="O45" s="38"/>
    </row>
    <row r="46" spans="2:15" ht="15.75">
      <c r="B46" s="4"/>
      <c r="C46" s="39"/>
      <c r="D46" s="39"/>
      <c r="E46" s="39"/>
      <c r="F46" s="39"/>
      <c r="G46" s="39"/>
      <c r="H46" s="39"/>
      <c r="I46" s="39"/>
      <c r="J46" s="39"/>
      <c r="K46" s="39"/>
      <c r="L46" s="39"/>
      <c r="M46" s="39"/>
      <c r="N46" s="39"/>
    </row>
  </sheetData>
  <mergeCells count="52">
    <mergeCell ref="C9:D9"/>
    <mergeCell ref="E9:H9"/>
    <mergeCell ref="L9:N9"/>
    <mergeCell ref="G2:K3"/>
    <mergeCell ref="C5:D5"/>
    <mergeCell ref="E5:H5"/>
    <mergeCell ref="L5:N5"/>
    <mergeCell ref="C6:D6"/>
    <mergeCell ref="E6:H6"/>
    <mergeCell ref="L6:N6"/>
    <mergeCell ref="C7:D7"/>
    <mergeCell ref="E7:H7"/>
    <mergeCell ref="L7:N7"/>
    <mergeCell ref="E8:H8"/>
    <mergeCell ref="L8:N8"/>
    <mergeCell ref="F13:H13"/>
    <mergeCell ref="F14:I14"/>
    <mergeCell ref="C16:F16"/>
    <mergeCell ref="H16:M16"/>
    <mergeCell ref="C17:F17"/>
    <mergeCell ref="H17:K17"/>
    <mergeCell ref="L17:N18"/>
    <mergeCell ref="L19:N19"/>
    <mergeCell ref="M20:N20"/>
    <mergeCell ref="M21:N21"/>
    <mergeCell ref="C25:N25"/>
    <mergeCell ref="D26:G26"/>
    <mergeCell ref="H26:J26"/>
    <mergeCell ref="K26:N26"/>
    <mergeCell ref="D27:G27"/>
    <mergeCell ref="H27:J27"/>
    <mergeCell ref="K27:N27"/>
    <mergeCell ref="D28:G28"/>
    <mergeCell ref="H28:J28"/>
    <mergeCell ref="K28:N28"/>
    <mergeCell ref="D37:F37"/>
    <mergeCell ref="D29:G29"/>
    <mergeCell ref="H29:J29"/>
    <mergeCell ref="K29:N29"/>
    <mergeCell ref="D30:G30"/>
    <mergeCell ref="H30:J30"/>
    <mergeCell ref="K30:N30"/>
    <mergeCell ref="D31:G31"/>
    <mergeCell ref="H31:J31"/>
    <mergeCell ref="K31:N31"/>
    <mergeCell ref="D32:G32"/>
    <mergeCell ref="K32:N32"/>
    <mergeCell ref="D38:F38"/>
    <mergeCell ref="G40:K40"/>
    <mergeCell ref="G41:K41"/>
    <mergeCell ref="G42:K42"/>
    <mergeCell ref="G44:K44"/>
  </mergeCells>
  <pageMargins left="0.31496062992125984" right="0.11811023622047245" top="0.74803149606299213" bottom="0.74803149606299213" header="0.31496062992125984" footer="0.31496062992125984"/>
  <pageSetup paperSize="9" scale="98"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B050"/>
  </sheetPr>
  <dimension ref="A1:P41"/>
  <sheetViews>
    <sheetView workbookViewId="0"/>
  </sheetViews>
  <sheetFormatPr baseColWidth="10" defaultColWidth="9" defaultRowHeight="12.75"/>
  <cols>
    <col min="1" max="1" width="1.28515625" style="1" customWidth="1"/>
    <col min="2" max="2" width="1.7109375" style="1" customWidth="1"/>
    <col min="3" max="3" width="2.85546875" style="1" customWidth="1"/>
    <col min="4" max="4" width="7.28515625" style="1" customWidth="1"/>
    <col min="5" max="5" width="9" style="1" customWidth="1"/>
    <col min="6" max="6" width="11.85546875" style="1" customWidth="1"/>
    <col min="7" max="7" width="9" style="1" customWidth="1"/>
    <col min="8" max="8" width="4" style="1" customWidth="1"/>
    <col min="9" max="9" width="2" style="1" customWidth="1"/>
    <col min="10" max="10" width="5.85546875" style="1" customWidth="1"/>
    <col min="11" max="11" width="8.5703125" style="1" customWidth="1"/>
    <col min="12" max="12" width="3.28515625" style="1" customWidth="1"/>
    <col min="13" max="13" width="12.7109375" style="1" customWidth="1"/>
    <col min="14" max="14" width="16.5703125" style="1" customWidth="1"/>
    <col min="15" max="15" width="1.85546875" style="1" customWidth="1"/>
    <col min="16" max="16" width="1.28515625" style="1" customWidth="1"/>
  </cols>
  <sheetData>
    <row r="1" spans="2:16" ht="15.75" thickBot="1">
      <c r="B1" s="2"/>
      <c r="C1" s="2"/>
      <c r="D1" s="2"/>
      <c r="E1" s="2"/>
      <c r="F1" s="2"/>
      <c r="G1" s="2"/>
      <c r="H1" s="2"/>
      <c r="I1" s="2"/>
      <c r="J1" s="2"/>
      <c r="K1" s="2"/>
      <c r="L1" s="2"/>
      <c r="M1" s="2"/>
      <c r="N1" s="2"/>
      <c r="O1" s="2"/>
    </row>
    <row r="2" spans="2:16" ht="21">
      <c r="B2" s="3"/>
      <c r="C2" s="4"/>
      <c r="D2" s="4"/>
      <c r="E2" s="4"/>
      <c r="F2" s="4"/>
      <c r="G2" s="625" t="s">
        <v>28</v>
      </c>
      <c r="H2" s="625"/>
      <c r="I2" s="625"/>
      <c r="J2" s="625"/>
      <c r="K2" s="625"/>
      <c r="L2" s="5"/>
      <c r="M2" s="207" t="s">
        <v>29</v>
      </c>
      <c r="N2" s="6" t="s">
        <v>2</v>
      </c>
      <c r="O2" s="7"/>
      <c r="P2" s="8"/>
    </row>
    <row r="3" spans="2:16" ht="16.5" thickBot="1">
      <c r="B3" s="10"/>
      <c r="C3" s="11"/>
      <c r="D3" s="11"/>
      <c r="E3" s="11"/>
      <c r="F3" s="11"/>
      <c r="G3" s="626"/>
      <c r="H3" s="626"/>
      <c r="I3" s="626"/>
      <c r="J3" s="626"/>
      <c r="K3" s="626"/>
      <c r="L3" s="12"/>
      <c r="M3" s="208" t="s">
        <v>3</v>
      </c>
      <c r="N3" s="13">
        <v>42917</v>
      </c>
      <c r="O3" s="14"/>
      <c r="P3" s="9"/>
    </row>
    <row r="4" spans="2:16" ht="15.75">
      <c r="B4" s="15"/>
      <c r="C4" s="16"/>
      <c r="D4" s="16"/>
      <c r="E4" s="16"/>
      <c r="F4" s="16"/>
      <c r="G4" s="17"/>
      <c r="H4" s="17"/>
      <c r="I4" s="17"/>
      <c r="J4" s="17"/>
      <c r="K4" s="17"/>
      <c r="L4" s="18"/>
      <c r="M4" s="19"/>
      <c r="N4" s="20"/>
      <c r="O4" s="21"/>
      <c r="P4" s="9"/>
    </row>
    <row r="5" spans="2:16" ht="15.75">
      <c r="B5" s="22"/>
      <c r="C5" s="627" t="s">
        <v>4</v>
      </c>
      <c r="D5" s="627"/>
      <c r="E5" s="609" t="s">
        <v>307</v>
      </c>
      <c r="F5" s="609"/>
      <c r="G5" s="609"/>
      <c r="H5" s="609"/>
      <c r="I5" s="23"/>
      <c r="J5" s="23" t="s">
        <v>5</v>
      </c>
      <c r="K5" s="23"/>
      <c r="L5" s="628" t="s">
        <v>6</v>
      </c>
      <c r="M5" s="629"/>
      <c r="N5" s="629"/>
      <c r="O5" s="24"/>
    </row>
    <row r="6" spans="2:16" ht="15.75">
      <c r="B6" s="22"/>
      <c r="C6" s="621"/>
      <c r="D6" s="621"/>
      <c r="E6" s="622" t="s">
        <v>95</v>
      </c>
      <c r="F6" s="622"/>
      <c r="G6" s="622"/>
      <c r="H6" s="622"/>
      <c r="I6" s="23"/>
      <c r="J6" s="23" t="s">
        <v>7</v>
      </c>
      <c r="K6" s="23"/>
      <c r="L6" s="630">
        <f>NOR!P5</f>
        <v>0</v>
      </c>
      <c r="M6" s="631"/>
      <c r="N6" s="631"/>
      <c r="O6" s="24"/>
    </row>
    <row r="7" spans="2:16" ht="15.75">
      <c r="B7" s="22"/>
      <c r="C7" s="621"/>
      <c r="D7" s="621"/>
      <c r="E7" s="632" t="s">
        <v>304</v>
      </c>
      <c r="F7" s="622"/>
      <c r="G7" s="622"/>
      <c r="H7" s="622"/>
      <c r="I7" s="23"/>
      <c r="J7" s="23" t="s">
        <v>8</v>
      </c>
      <c r="K7" s="23"/>
      <c r="L7" s="630" t="str">
        <f>NOR!P6</f>
        <v/>
      </c>
      <c r="M7" s="631"/>
      <c r="N7" s="631"/>
      <c r="O7" s="24"/>
    </row>
    <row r="8" spans="2:16" ht="15.75">
      <c r="B8" s="22"/>
      <c r="C8" s="233"/>
      <c r="D8" s="233"/>
      <c r="E8" s="632"/>
      <c r="F8" s="622"/>
      <c r="G8" s="622"/>
      <c r="H8" s="622"/>
      <c r="I8" s="23"/>
      <c r="J8" s="23" t="s">
        <v>9</v>
      </c>
      <c r="K8" s="23"/>
      <c r="L8" s="633" t="str">
        <f>NOR!P7</f>
        <v/>
      </c>
      <c r="M8" s="634"/>
      <c r="N8" s="634"/>
      <c r="O8" s="24"/>
    </row>
    <row r="9" spans="2:16" ht="15.75">
      <c r="B9" s="22"/>
      <c r="C9" s="621"/>
      <c r="D9" s="621"/>
      <c r="E9" s="622"/>
      <c r="F9" s="622"/>
      <c r="G9" s="622"/>
      <c r="H9" s="622"/>
      <c r="I9" s="23"/>
      <c r="J9" s="16"/>
      <c r="K9" s="23"/>
      <c r="L9" s="623"/>
      <c r="M9" s="624"/>
      <c r="N9" s="624"/>
      <c r="O9" s="24"/>
    </row>
    <row r="10" spans="2:16" ht="15.75">
      <c r="B10" s="15"/>
      <c r="C10" s="23"/>
      <c r="D10" s="23"/>
      <c r="E10" s="23"/>
      <c r="F10" s="23"/>
      <c r="G10" s="23"/>
      <c r="H10" s="23"/>
      <c r="I10" s="23"/>
      <c r="J10" s="23"/>
      <c r="K10" s="23"/>
      <c r="L10" s="23"/>
      <c r="M10" s="23"/>
      <c r="N10" s="25"/>
      <c r="O10" s="24"/>
    </row>
    <row r="11" spans="2:16" ht="15.75">
      <c r="B11" s="15"/>
      <c r="C11" s="26"/>
      <c r="D11" s="23"/>
      <c r="E11" s="23"/>
      <c r="F11" s="23"/>
      <c r="G11" s="23"/>
      <c r="H11" s="23"/>
      <c r="I11" s="23"/>
      <c r="J11" s="23"/>
      <c r="K11" s="23"/>
      <c r="L11" s="23"/>
      <c r="M11" s="23"/>
      <c r="N11" s="25"/>
      <c r="O11" s="24"/>
    </row>
    <row r="12" spans="2:16" ht="15.75">
      <c r="B12" s="15"/>
      <c r="C12" s="26" t="s">
        <v>10</v>
      </c>
      <c r="D12" s="23"/>
      <c r="E12" s="23"/>
      <c r="F12" s="23"/>
      <c r="G12" s="23"/>
      <c r="H12" s="23"/>
      <c r="I12" s="23"/>
      <c r="J12" s="23"/>
      <c r="K12" s="23"/>
      <c r="L12" s="23"/>
      <c r="M12" s="25"/>
      <c r="N12" s="25"/>
      <c r="O12" s="24"/>
    </row>
    <row r="13" spans="2:16" ht="15.75">
      <c r="B13" s="15"/>
      <c r="C13" s="27" t="s">
        <v>11</v>
      </c>
      <c r="D13" s="23"/>
      <c r="E13" s="23"/>
      <c r="F13" s="615" t="s">
        <v>12</v>
      </c>
      <c r="G13" s="615"/>
      <c r="H13" s="615"/>
      <c r="I13" s="28"/>
      <c r="J13" s="23" t="s">
        <v>303</v>
      </c>
      <c r="K13" s="23"/>
      <c r="L13" s="206"/>
      <c r="M13" s="25"/>
      <c r="N13" s="25"/>
      <c r="O13" s="24"/>
    </row>
    <row r="14" spans="2:16" ht="15.75">
      <c r="B14" s="15"/>
      <c r="C14" s="27"/>
      <c r="D14" s="23"/>
      <c r="E14" s="23"/>
      <c r="F14" s="616" t="s">
        <v>13</v>
      </c>
      <c r="G14" s="616"/>
      <c r="H14" s="616"/>
      <c r="I14" s="23"/>
      <c r="J14" s="23"/>
      <c r="K14" s="23"/>
      <c r="L14" s="206"/>
      <c r="M14" s="25"/>
      <c r="N14" s="25"/>
      <c r="O14" s="24"/>
    </row>
    <row r="15" spans="2:16" ht="15.75" customHeight="1">
      <c r="B15" s="15"/>
      <c r="C15" s="617" t="s">
        <v>319</v>
      </c>
      <c r="D15" s="617"/>
      <c r="E15" s="617"/>
      <c r="F15" s="617"/>
      <c r="G15" s="617"/>
      <c r="H15" s="617"/>
      <c r="I15" s="617"/>
      <c r="J15" s="617"/>
      <c r="K15" s="617"/>
      <c r="L15" s="617"/>
      <c r="M15" s="617"/>
      <c r="N15" s="617"/>
      <c r="O15" s="24"/>
    </row>
    <row r="16" spans="2:16" ht="15.75">
      <c r="B16" s="15"/>
      <c r="C16" s="27"/>
      <c r="D16" s="23"/>
      <c r="E16" s="23"/>
      <c r="F16" s="206"/>
      <c r="G16" s="206"/>
      <c r="H16" s="206"/>
      <c r="I16" s="23"/>
      <c r="J16" s="23"/>
      <c r="K16" s="23"/>
      <c r="L16" s="206"/>
      <c r="M16" s="25"/>
      <c r="N16" s="25"/>
      <c r="O16" s="24"/>
    </row>
    <row r="17" spans="2:16" ht="35.25" customHeight="1">
      <c r="B17" s="15"/>
      <c r="C17" s="618">
        <f>'Data Entry'!B13</f>
        <v>0</v>
      </c>
      <c r="D17" s="619"/>
      <c r="E17" s="619"/>
      <c r="F17" s="619"/>
      <c r="G17" s="206" t="s">
        <v>14</v>
      </c>
      <c r="H17" s="615" t="s">
        <v>320</v>
      </c>
      <c r="I17" s="615"/>
      <c r="J17" s="615"/>
      <c r="K17" s="615"/>
      <c r="L17" s="615"/>
      <c r="M17" s="615"/>
      <c r="N17" s="25"/>
      <c r="O17" s="24"/>
    </row>
    <row r="18" spans="2:16" ht="15.75">
      <c r="B18" s="15"/>
      <c r="C18" s="612" t="s">
        <v>15</v>
      </c>
      <c r="D18" s="612"/>
      <c r="E18" s="612"/>
      <c r="F18" s="612"/>
      <c r="G18" s="23"/>
      <c r="H18" s="610" t="s">
        <v>16</v>
      </c>
      <c r="I18" s="610"/>
      <c r="J18" s="610"/>
      <c r="K18" s="610"/>
      <c r="L18" s="620" t="s">
        <v>308</v>
      </c>
      <c r="M18" s="620"/>
      <c r="N18" s="620"/>
      <c r="O18" s="24"/>
    </row>
    <row r="19" spans="2:16" ht="44.25" customHeight="1">
      <c r="B19" s="15"/>
      <c r="C19" s="26" t="s">
        <v>262</v>
      </c>
      <c r="D19" s="16"/>
      <c r="E19" s="16"/>
      <c r="F19" s="16"/>
      <c r="G19" s="16"/>
      <c r="H19" s="16"/>
      <c r="I19" s="16"/>
      <c r="J19" s="16"/>
      <c r="K19" s="16"/>
      <c r="L19" s="618"/>
      <c r="M19" s="618"/>
      <c r="N19" s="618"/>
      <c r="O19" s="24"/>
    </row>
    <row r="20" spans="2:16" ht="15">
      <c r="B20" s="15"/>
      <c r="C20" s="26"/>
      <c r="D20" s="16"/>
      <c r="E20" s="16"/>
      <c r="F20" s="16"/>
      <c r="G20" s="16"/>
      <c r="H20" s="16"/>
      <c r="I20" s="16"/>
      <c r="J20" s="16"/>
      <c r="K20" s="29"/>
      <c r="L20" s="610" t="s">
        <v>17</v>
      </c>
      <c r="M20" s="610"/>
      <c r="N20" s="610"/>
      <c r="O20" s="24"/>
    </row>
    <row r="21" spans="2:16" ht="15.75">
      <c r="B21" s="15"/>
      <c r="C21" s="23" t="s">
        <v>18</v>
      </c>
      <c r="D21" s="23"/>
      <c r="E21" s="23"/>
      <c r="F21" s="23"/>
      <c r="G21" s="23"/>
      <c r="H21" s="23"/>
      <c r="I21" s="23"/>
      <c r="J21" s="23"/>
      <c r="K21" s="16"/>
      <c r="L21" s="16"/>
      <c r="M21" s="611">
        <v>43432</v>
      </c>
      <c r="N21" s="611"/>
      <c r="O21" s="24"/>
      <c r="P21" s="23"/>
    </row>
    <row r="22" spans="2:16" ht="15.75">
      <c r="B22" s="15"/>
      <c r="C22" s="30"/>
      <c r="D22" s="30"/>
      <c r="E22" s="30"/>
      <c r="F22" s="30"/>
      <c r="G22" s="30"/>
      <c r="H22" s="30"/>
      <c r="I22" s="30"/>
      <c r="J22" s="30"/>
      <c r="K22" s="16"/>
      <c r="L22" s="16"/>
      <c r="M22" s="612" t="s">
        <v>19</v>
      </c>
      <c r="N22" s="612"/>
      <c r="O22" s="24"/>
    </row>
    <row r="23" spans="2:16" ht="15.75">
      <c r="B23" s="15"/>
      <c r="C23" s="30" t="s">
        <v>20</v>
      </c>
      <c r="D23" s="30"/>
      <c r="E23" s="30"/>
      <c r="F23" s="30"/>
      <c r="G23" s="30"/>
      <c r="H23" s="30"/>
      <c r="I23" s="30"/>
      <c r="J23" s="30"/>
      <c r="K23" s="30"/>
      <c r="L23" s="30"/>
      <c r="M23" s="30"/>
      <c r="N23" s="30"/>
      <c r="O23" s="24"/>
    </row>
    <row r="24" spans="2:16" ht="15.75">
      <c r="B24" s="15"/>
      <c r="C24" s="30"/>
      <c r="D24" s="30"/>
      <c r="E24" s="30"/>
      <c r="F24" s="30"/>
      <c r="G24" s="30"/>
      <c r="H24" s="30"/>
      <c r="I24" s="30"/>
      <c r="J24" s="30"/>
      <c r="K24" s="30"/>
      <c r="L24" s="30"/>
      <c r="M24" s="30"/>
      <c r="N24" s="30"/>
      <c r="O24" s="24"/>
    </row>
    <row r="25" spans="2:16" ht="15.75">
      <c r="B25" s="15"/>
      <c r="C25" s="30"/>
      <c r="D25" s="30"/>
      <c r="E25" s="30"/>
      <c r="F25" s="30"/>
      <c r="G25" s="30"/>
      <c r="H25" s="30"/>
      <c r="I25" s="30"/>
      <c r="J25" s="30"/>
      <c r="K25" s="30"/>
      <c r="L25" s="30"/>
      <c r="M25" s="30"/>
      <c r="N25" s="30"/>
      <c r="O25" s="24"/>
    </row>
    <row r="26" spans="2:16" ht="15.75">
      <c r="B26" s="15"/>
      <c r="C26" s="30"/>
      <c r="D26" s="30"/>
      <c r="E26" s="30"/>
      <c r="F26" s="30"/>
      <c r="G26" s="30"/>
      <c r="H26" s="30"/>
      <c r="I26" s="30"/>
      <c r="J26" s="30"/>
      <c r="K26" s="30"/>
      <c r="L26" s="30"/>
      <c r="M26" s="30"/>
      <c r="N26" s="30"/>
      <c r="O26" s="24"/>
    </row>
    <row r="27" spans="2:16" ht="15.75">
      <c r="B27" s="15"/>
      <c r="C27" s="30"/>
      <c r="D27" s="30"/>
      <c r="E27" s="30"/>
      <c r="F27" s="30"/>
      <c r="G27" s="30"/>
      <c r="H27" s="30"/>
      <c r="I27" s="30"/>
      <c r="J27" s="30"/>
      <c r="K27" s="30"/>
      <c r="L27" s="30"/>
      <c r="M27" s="30"/>
      <c r="N27" s="30"/>
      <c r="O27" s="24"/>
    </row>
    <row r="28" spans="2:16" ht="15.75">
      <c r="B28" s="15"/>
      <c r="C28" s="30"/>
      <c r="D28" s="30"/>
      <c r="E28" s="30"/>
      <c r="F28" s="30"/>
      <c r="G28" s="30"/>
      <c r="H28" s="30"/>
      <c r="I28" s="30"/>
      <c r="J28" s="30"/>
      <c r="K28" s="30"/>
      <c r="L28" s="30"/>
      <c r="M28" s="30"/>
      <c r="N28" s="30"/>
      <c r="O28" s="24"/>
    </row>
    <row r="29" spans="2:16" ht="15.75">
      <c r="B29" s="15"/>
      <c r="C29" s="30" t="s">
        <v>22</v>
      </c>
      <c r="D29" s="30"/>
      <c r="E29" s="30"/>
      <c r="F29" s="30"/>
      <c r="G29" s="30"/>
      <c r="H29" s="30"/>
      <c r="I29" s="30"/>
      <c r="J29" s="30"/>
      <c r="K29" s="30"/>
      <c r="L29" s="30"/>
      <c r="M29" s="30"/>
      <c r="N29" s="30"/>
      <c r="O29" s="24"/>
    </row>
    <row r="30" spans="2:16" ht="15.75">
      <c r="B30" s="15"/>
      <c r="C30" s="30"/>
      <c r="D30" s="30"/>
      <c r="E30" s="30"/>
      <c r="F30" s="30"/>
      <c r="G30" s="30"/>
      <c r="H30" s="30"/>
      <c r="I30" s="30"/>
      <c r="J30" s="30"/>
      <c r="K30" s="30"/>
      <c r="L30" s="30"/>
      <c r="M30" s="30"/>
      <c r="N30" s="30"/>
      <c r="O30" s="24"/>
    </row>
    <row r="31" spans="2:16" ht="15.75">
      <c r="B31" s="15"/>
      <c r="C31" s="30"/>
      <c r="D31" s="30"/>
      <c r="E31" s="30"/>
      <c r="F31" s="30"/>
      <c r="G31" s="30"/>
      <c r="H31" s="30"/>
      <c r="I31" s="30"/>
      <c r="J31" s="30"/>
      <c r="K31" s="30"/>
      <c r="L31" s="30"/>
      <c r="M31" s="30"/>
      <c r="N31" s="30"/>
      <c r="O31" s="24"/>
    </row>
    <row r="32" spans="2:16" ht="15.75">
      <c r="B32" s="15"/>
      <c r="C32" s="30"/>
      <c r="D32" s="613" t="s">
        <v>273</v>
      </c>
      <c r="E32" s="613"/>
      <c r="F32" s="613"/>
      <c r="G32" s="30"/>
      <c r="H32" s="30"/>
      <c r="I32" s="30"/>
      <c r="J32" s="30"/>
      <c r="K32" s="30"/>
      <c r="L32" s="30"/>
      <c r="M32" s="30"/>
      <c r="N32" s="30"/>
      <c r="O32" s="24"/>
    </row>
    <row r="33" spans="2:15" ht="15.75">
      <c r="B33" s="15"/>
      <c r="C33" s="30"/>
      <c r="D33" s="614" t="s">
        <v>23</v>
      </c>
      <c r="E33" s="614"/>
      <c r="F33" s="614"/>
      <c r="G33" s="30"/>
      <c r="H33" s="30"/>
      <c r="I33" s="30"/>
      <c r="J33" s="30"/>
      <c r="K33" s="30"/>
      <c r="L33" s="30"/>
      <c r="M33" s="30"/>
      <c r="N33" s="30"/>
      <c r="O33" s="24"/>
    </row>
    <row r="34" spans="2:15" ht="15.75">
      <c r="B34" s="15"/>
      <c r="C34" s="30"/>
      <c r="D34" s="30"/>
      <c r="E34" s="30"/>
      <c r="F34" s="30"/>
      <c r="G34" s="30"/>
      <c r="H34" s="30"/>
      <c r="I34" s="30"/>
      <c r="J34" s="30"/>
      <c r="K34" s="30"/>
      <c r="L34" s="30"/>
      <c r="M34" s="30"/>
      <c r="N34" s="30"/>
      <c r="O34" s="24"/>
    </row>
    <row r="35" spans="2:15" ht="15.75">
      <c r="B35" s="15"/>
      <c r="C35" s="30"/>
      <c r="D35" s="30"/>
      <c r="E35" s="32" t="s">
        <v>24</v>
      </c>
      <c r="F35" s="33"/>
      <c r="G35" s="609"/>
      <c r="H35" s="609"/>
      <c r="I35" s="609"/>
      <c r="J35" s="609"/>
      <c r="K35" s="609"/>
      <c r="L35" s="30"/>
      <c r="M35" s="30"/>
      <c r="N35" s="30"/>
      <c r="O35" s="24"/>
    </row>
    <row r="36" spans="2:15" ht="15.75">
      <c r="B36" s="15"/>
      <c r="C36" s="30"/>
      <c r="D36" s="30"/>
      <c r="E36" s="32" t="s">
        <v>25</v>
      </c>
      <c r="F36" s="34"/>
      <c r="G36" s="607"/>
      <c r="H36" s="607"/>
      <c r="I36" s="607"/>
      <c r="J36" s="607"/>
      <c r="K36" s="607"/>
      <c r="L36" s="30"/>
      <c r="M36" s="30"/>
      <c r="N36" s="30"/>
      <c r="O36" s="24"/>
    </row>
    <row r="37" spans="2:15" ht="15.75">
      <c r="B37" s="15"/>
      <c r="C37" s="30"/>
      <c r="D37" s="30"/>
      <c r="E37" s="32" t="s">
        <v>26</v>
      </c>
      <c r="F37" s="34"/>
      <c r="G37" s="608"/>
      <c r="H37" s="608"/>
      <c r="I37" s="608"/>
      <c r="J37" s="608"/>
      <c r="K37" s="608"/>
      <c r="L37" s="30"/>
      <c r="M37" s="30"/>
      <c r="N37" s="30"/>
      <c r="O37" s="24"/>
    </row>
    <row r="38" spans="2:15" ht="15.75">
      <c r="B38" s="15"/>
      <c r="C38" s="30"/>
      <c r="D38" s="30"/>
      <c r="E38" s="16"/>
      <c r="F38" s="16"/>
      <c r="G38" s="35"/>
      <c r="H38" s="35"/>
      <c r="I38" s="35"/>
      <c r="J38" s="35"/>
      <c r="K38" s="35"/>
      <c r="L38" s="30"/>
      <c r="M38" s="30"/>
      <c r="N38" s="30"/>
      <c r="O38" s="24"/>
    </row>
    <row r="39" spans="2:15" ht="15.75">
      <c r="B39" s="15"/>
      <c r="C39" s="30"/>
      <c r="D39" s="30"/>
      <c r="E39" s="32" t="s">
        <v>27</v>
      </c>
      <c r="F39" s="33"/>
      <c r="G39" s="609"/>
      <c r="H39" s="609"/>
      <c r="I39" s="609"/>
      <c r="J39" s="609"/>
      <c r="K39" s="609"/>
      <c r="L39" s="30"/>
      <c r="M39" s="30"/>
      <c r="N39" s="30"/>
      <c r="O39" s="24"/>
    </row>
    <row r="40" spans="2:15" ht="16.5" thickBot="1">
      <c r="B40" s="36"/>
      <c r="C40" s="37"/>
      <c r="D40" s="37"/>
      <c r="E40" s="37"/>
      <c r="F40" s="37"/>
      <c r="G40" s="37"/>
      <c r="H40" s="37"/>
      <c r="I40" s="37"/>
      <c r="J40" s="37"/>
      <c r="K40" s="37"/>
      <c r="L40" s="37"/>
      <c r="M40" s="37"/>
      <c r="N40" s="37"/>
      <c r="O40" s="38"/>
    </row>
    <row r="41" spans="2:15" ht="15.75">
      <c r="B41" s="4"/>
      <c r="C41" s="39"/>
      <c r="D41" s="39"/>
      <c r="E41" s="39"/>
      <c r="F41" s="39"/>
      <c r="G41" s="39"/>
      <c r="H41" s="39"/>
      <c r="I41" s="39"/>
      <c r="J41" s="39"/>
      <c r="K41" s="39"/>
      <c r="L41" s="39"/>
      <c r="M41" s="39"/>
      <c r="N41" s="39"/>
    </row>
  </sheetData>
  <mergeCells count="32">
    <mergeCell ref="C9:D9"/>
    <mergeCell ref="E9:H9"/>
    <mergeCell ref="L9:N9"/>
    <mergeCell ref="G2:K3"/>
    <mergeCell ref="C5:D5"/>
    <mergeCell ref="E5:H5"/>
    <mergeCell ref="L5:N5"/>
    <mergeCell ref="C6:D6"/>
    <mergeCell ref="E6:H6"/>
    <mergeCell ref="L6:N6"/>
    <mergeCell ref="C7:D7"/>
    <mergeCell ref="E7:H7"/>
    <mergeCell ref="L7:N7"/>
    <mergeCell ref="E8:H8"/>
    <mergeCell ref="L8:N8"/>
    <mergeCell ref="D32:F32"/>
    <mergeCell ref="D33:F33"/>
    <mergeCell ref="G35:K35"/>
    <mergeCell ref="F13:H13"/>
    <mergeCell ref="F14:H14"/>
    <mergeCell ref="C15:N15"/>
    <mergeCell ref="C17:F17"/>
    <mergeCell ref="H17:M17"/>
    <mergeCell ref="C18:F18"/>
    <mergeCell ref="H18:K18"/>
    <mergeCell ref="L18:N19"/>
    <mergeCell ref="G36:K36"/>
    <mergeCell ref="G37:K37"/>
    <mergeCell ref="G39:K39"/>
    <mergeCell ref="L20:N20"/>
    <mergeCell ref="M21:N21"/>
    <mergeCell ref="M22:N22"/>
  </mergeCells>
  <pageMargins left="0.31496062992125984" right="0.11811023622047245" top="0.74803149606299213" bottom="0.74803149606299213" header="0.31496062992125984" footer="0.31496062992125984"/>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00B050"/>
  </sheetPr>
  <dimension ref="A1:R46"/>
  <sheetViews>
    <sheetView workbookViewId="0"/>
  </sheetViews>
  <sheetFormatPr baseColWidth="10" defaultColWidth="9" defaultRowHeight="12.75"/>
  <cols>
    <col min="1" max="1" width="1.28515625" style="1" customWidth="1"/>
    <col min="2" max="2" width="1.7109375" style="1" customWidth="1"/>
    <col min="3" max="3" width="2.28515625" style="1" customWidth="1"/>
    <col min="4" max="4" width="7.28515625" style="1" customWidth="1"/>
    <col min="5" max="5" width="9" style="1" customWidth="1"/>
    <col min="6" max="6" width="11.85546875" style="1" customWidth="1"/>
    <col min="7" max="7" width="9" style="1" customWidth="1"/>
    <col min="8" max="8" width="4" style="1" customWidth="1"/>
    <col min="9" max="9" width="2" style="1" customWidth="1"/>
    <col min="10" max="10" width="5.85546875" style="1" customWidth="1"/>
    <col min="11" max="11" width="8.5703125" style="1" customWidth="1"/>
    <col min="12" max="12" width="3.28515625" style="1" customWidth="1"/>
    <col min="13" max="13" width="12.7109375" style="1" customWidth="1"/>
    <col min="14" max="14" width="16.5703125" style="1" customWidth="1"/>
    <col min="15" max="15" width="3.28515625" style="1" customWidth="1"/>
    <col min="16" max="16" width="0.85546875" style="1" customWidth="1"/>
  </cols>
  <sheetData>
    <row r="1" spans="2:18" ht="15.75" thickBot="1">
      <c r="B1" s="2"/>
      <c r="C1" s="2"/>
      <c r="D1" s="2"/>
      <c r="E1" s="2"/>
      <c r="F1" s="2"/>
      <c r="G1" s="2"/>
      <c r="H1" s="2"/>
      <c r="I1" s="2"/>
      <c r="J1" s="2"/>
      <c r="K1" s="2"/>
      <c r="L1" s="2"/>
      <c r="M1" s="2"/>
      <c r="N1" s="2"/>
      <c r="O1" s="2"/>
    </row>
    <row r="2" spans="2:18" ht="21">
      <c r="B2" s="3"/>
      <c r="C2" s="4"/>
      <c r="D2" s="4"/>
      <c r="E2" s="4"/>
      <c r="F2" s="4"/>
      <c r="G2" s="625" t="s">
        <v>0</v>
      </c>
      <c r="H2" s="625"/>
      <c r="I2" s="625"/>
      <c r="J2" s="625"/>
      <c r="K2" s="625"/>
      <c r="L2" s="5"/>
      <c r="M2" s="207" t="s">
        <v>1</v>
      </c>
      <c r="N2" s="6" t="s">
        <v>2</v>
      </c>
      <c r="O2" s="7"/>
      <c r="P2" s="8"/>
    </row>
    <row r="3" spans="2:18" ht="16.5" thickBot="1">
      <c r="B3" s="10"/>
      <c r="C3" s="11"/>
      <c r="D3" s="11"/>
      <c r="E3" s="11"/>
      <c r="F3" s="11"/>
      <c r="G3" s="626"/>
      <c r="H3" s="626"/>
      <c r="I3" s="626"/>
      <c r="J3" s="626"/>
      <c r="K3" s="626"/>
      <c r="L3" s="12"/>
      <c r="M3" s="208" t="s">
        <v>3</v>
      </c>
      <c r="N3" s="13">
        <v>42917</v>
      </c>
      <c r="O3" s="14"/>
      <c r="P3" s="9"/>
    </row>
    <row r="4" spans="2:18" ht="15.75">
      <c r="B4" s="15"/>
      <c r="C4" s="16"/>
      <c r="D4" s="16"/>
      <c r="E4" s="16"/>
      <c r="F4" s="16"/>
      <c r="G4" s="17"/>
      <c r="H4" s="17"/>
      <c r="I4" s="17"/>
      <c r="J4" s="17"/>
      <c r="K4" s="17"/>
      <c r="L4" s="18"/>
      <c r="M4" s="19"/>
      <c r="N4" s="20"/>
      <c r="O4" s="21"/>
      <c r="P4" s="9"/>
    </row>
    <row r="5" spans="2:18" ht="15.75">
      <c r="B5" s="22"/>
      <c r="C5" s="627" t="s">
        <v>4</v>
      </c>
      <c r="D5" s="627"/>
      <c r="E5" s="609" t="str">
        <f>'NOR (GASOIL)'!E5</f>
        <v>Barge GERVAIS</v>
      </c>
      <c r="F5" s="609"/>
      <c r="G5" s="609"/>
      <c r="H5" s="609"/>
      <c r="I5" s="23"/>
      <c r="J5" s="23" t="s">
        <v>5</v>
      </c>
      <c r="K5" s="23"/>
      <c r="L5" s="628" t="s">
        <v>6</v>
      </c>
      <c r="M5" s="629"/>
      <c r="N5" s="629"/>
      <c r="O5" s="24"/>
    </row>
    <row r="6" spans="2:18" ht="15.75">
      <c r="B6" s="22"/>
      <c r="C6" s="621"/>
      <c r="D6" s="621"/>
      <c r="E6" s="622" t="str">
        <f>NOR!B5</f>
        <v/>
      </c>
      <c r="F6" s="622"/>
      <c r="G6" s="622"/>
      <c r="H6" s="622"/>
      <c r="I6" s="23"/>
      <c r="J6" s="23" t="s">
        <v>7</v>
      </c>
      <c r="K6" s="23"/>
      <c r="L6" s="630">
        <f>NOR!P5</f>
        <v>0</v>
      </c>
      <c r="M6" s="631"/>
      <c r="N6" s="631"/>
      <c r="O6" s="24"/>
    </row>
    <row r="7" spans="2:18" ht="15.75">
      <c r="B7" s="22"/>
      <c r="C7" s="621"/>
      <c r="D7" s="621"/>
      <c r="E7" s="622" t="str">
        <f>IF(NOR!B6="","",NOR!B6)</f>
        <v/>
      </c>
      <c r="F7" s="622"/>
      <c r="G7" s="622"/>
      <c r="H7" s="622"/>
      <c r="I7" s="23"/>
      <c r="J7" s="23" t="s">
        <v>8</v>
      </c>
      <c r="K7" s="23"/>
      <c r="L7" s="630" t="str">
        <f>NOR!P6</f>
        <v/>
      </c>
      <c r="M7" s="631"/>
      <c r="N7" s="631"/>
      <c r="O7" s="24"/>
    </row>
    <row r="8" spans="2:18" ht="15.75">
      <c r="B8" s="22"/>
      <c r="C8" s="233"/>
      <c r="D8" s="233"/>
      <c r="E8" s="632" t="str">
        <f>IF(NOR!B7="","",NOR!B7)</f>
        <v/>
      </c>
      <c r="F8" s="622"/>
      <c r="G8" s="622"/>
      <c r="H8" s="622"/>
      <c r="I8" s="23"/>
      <c r="J8" s="23" t="s">
        <v>9</v>
      </c>
      <c r="K8" s="23"/>
      <c r="L8" s="633" t="str">
        <f>NOR!P7</f>
        <v/>
      </c>
      <c r="M8" s="634"/>
      <c r="N8" s="634"/>
      <c r="O8" s="24"/>
    </row>
    <row r="9" spans="2:18" ht="15.75">
      <c r="B9" s="22"/>
      <c r="C9" s="621"/>
      <c r="D9" s="621"/>
      <c r="E9" s="632" t="e">
        <f>IF(NOR!#REF!="","",NOR!#REF!)</f>
        <v>#REF!</v>
      </c>
      <c r="F9" s="622"/>
      <c r="G9" s="622"/>
      <c r="H9" s="622"/>
      <c r="I9" s="23"/>
      <c r="J9" s="16"/>
      <c r="K9" s="23"/>
      <c r="L9" s="623"/>
      <c r="M9" s="624"/>
      <c r="N9" s="624"/>
      <c r="O9" s="24"/>
    </row>
    <row r="10" spans="2:18" ht="15.75">
      <c r="B10" s="15"/>
      <c r="C10" s="23"/>
      <c r="D10" s="23"/>
      <c r="E10" s="23"/>
      <c r="F10" s="23"/>
      <c r="G10" s="23"/>
      <c r="H10" s="23"/>
      <c r="I10" s="23"/>
      <c r="J10" s="23"/>
      <c r="K10" s="23"/>
      <c r="L10" s="23"/>
      <c r="M10" s="23"/>
      <c r="N10" s="25"/>
      <c r="O10" s="24"/>
    </row>
    <row r="11" spans="2:18" ht="15.75">
      <c r="B11" s="15"/>
      <c r="C11" s="26"/>
      <c r="D11" s="23"/>
      <c r="E11" s="23"/>
      <c r="F11" s="23"/>
      <c r="G11" s="23"/>
      <c r="H11" s="23"/>
      <c r="I11" s="23"/>
      <c r="J11" s="23"/>
      <c r="K11" s="23"/>
      <c r="L11" s="23"/>
      <c r="M11" s="23"/>
      <c r="N11" s="25"/>
      <c r="O11" s="24"/>
    </row>
    <row r="12" spans="2:18" ht="15.75">
      <c r="B12" s="15"/>
      <c r="C12" s="26" t="s">
        <v>10</v>
      </c>
      <c r="D12" s="23"/>
      <c r="E12" s="23"/>
      <c r="F12" s="23"/>
      <c r="G12" s="23"/>
      <c r="H12" s="23"/>
      <c r="I12" s="23"/>
      <c r="J12" s="23"/>
      <c r="K12" s="23"/>
      <c r="L12" s="23"/>
      <c r="M12" s="25"/>
      <c r="N12" s="25"/>
      <c r="O12" s="24"/>
    </row>
    <row r="13" spans="2:18" ht="15.75">
      <c r="B13" s="15"/>
      <c r="C13" s="27" t="s">
        <v>11</v>
      </c>
      <c r="D13" s="23"/>
      <c r="E13" s="23"/>
      <c r="F13" s="615" t="s">
        <v>12</v>
      </c>
      <c r="G13" s="615"/>
      <c r="H13" s="615"/>
      <c r="I13" s="28"/>
      <c r="J13" s="23">
        <f>NOR!K13</f>
        <v>0</v>
      </c>
      <c r="K13" s="23"/>
      <c r="L13" s="206"/>
      <c r="M13" s="25"/>
      <c r="N13" s="25"/>
      <c r="O13" s="24"/>
      <c r="R13" t="s">
        <v>276</v>
      </c>
    </row>
    <row r="14" spans="2:18" ht="15.75">
      <c r="B14" s="15"/>
      <c r="C14" s="27"/>
      <c r="D14" s="23"/>
      <c r="E14" s="23"/>
      <c r="F14" s="639" t="s">
        <v>13</v>
      </c>
      <c r="G14" s="639"/>
      <c r="H14" s="639"/>
      <c r="I14" s="639"/>
      <c r="J14" s="23"/>
      <c r="K14" s="23"/>
      <c r="L14" s="206"/>
      <c r="M14" s="25"/>
      <c r="N14" s="25"/>
      <c r="O14" s="24"/>
    </row>
    <row r="15" spans="2:18" ht="15.75">
      <c r="B15" s="15"/>
      <c r="C15" s="27" t="e">
        <f>NOR!#REF!</f>
        <v>#REF!</v>
      </c>
      <c r="D15" s="23"/>
      <c r="E15" s="23"/>
      <c r="F15" s="206"/>
      <c r="G15" s="206"/>
      <c r="H15" s="206"/>
      <c r="I15" s="23"/>
      <c r="J15" s="23"/>
      <c r="K15" s="23"/>
      <c r="L15" s="206"/>
      <c r="M15" s="25"/>
      <c r="N15" s="25"/>
      <c r="O15" s="24"/>
    </row>
    <row r="16" spans="2:18" ht="35.25" customHeight="1">
      <c r="B16" s="15"/>
      <c r="C16" s="618">
        <f>NOR!B15</f>
        <v>0</v>
      </c>
      <c r="D16" s="618"/>
      <c r="E16" s="618"/>
      <c r="F16" s="618"/>
      <c r="G16" s="206" t="s">
        <v>14</v>
      </c>
      <c r="H16" s="615">
        <f>NOR!K15</f>
        <v>0</v>
      </c>
      <c r="I16" s="615"/>
      <c r="J16" s="615"/>
      <c r="K16" s="615"/>
      <c r="L16" s="615"/>
      <c r="M16" s="615"/>
      <c r="N16" s="25"/>
      <c r="O16" s="24"/>
    </row>
    <row r="17" spans="2:16" ht="15.75">
      <c r="B17" s="15"/>
      <c r="C17" s="612" t="s">
        <v>15</v>
      </c>
      <c r="D17" s="612"/>
      <c r="E17" s="612"/>
      <c r="F17" s="612"/>
      <c r="G17" s="23"/>
      <c r="H17" s="612" t="s">
        <v>16</v>
      </c>
      <c r="I17" s="612"/>
      <c r="J17" s="612"/>
      <c r="K17" s="612"/>
      <c r="L17" s="620" t="str">
        <f>'NOR (GASOIL)'!L18</f>
        <v>ACAP 800 MT of GASOIL</v>
      </c>
      <c r="M17" s="620"/>
      <c r="N17" s="620"/>
      <c r="O17" s="24"/>
    </row>
    <row r="18" spans="2:16" ht="50.25" customHeight="1">
      <c r="B18" s="15"/>
      <c r="C18" s="26" t="s">
        <v>30</v>
      </c>
      <c r="D18" s="16"/>
      <c r="E18" s="16"/>
      <c r="F18" s="16"/>
      <c r="G18" s="16"/>
      <c r="H18" s="16"/>
      <c r="I18" s="16"/>
      <c r="J18" s="16"/>
      <c r="K18" s="16"/>
      <c r="L18" s="618"/>
      <c r="M18" s="618"/>
      <c r="N18" s="618"/>
      <c r="O18" s="24"/>
    </row>
    <row r="19" spans="2:16" ht="15">
      <c r="B19" s="15"/>
      <c r="C19" s="26"/>
      <c r="D19" s="16"/>
      <c r="E19" s="16"/>
      <c r="F19" s="16"/>
      <c r="G19" s="16"/>
      <c r="H19" s="16"/>
      <c r="I19" s="16"/>
      <c r="J19" s="16"/>
      <c r="K19" s="29"/>
      <c r="L19" s="610" t="s">
        <v>17</v>
      </c>
      <c r="M19" s="610"/>
      <c r="N19" s="610"/>
      <c r="O19" s="24"/>
    </row>
    <row r="20" spans="2:16" ht="15.75">
      <c r="B20" s="15"/>
      <c r="C20" s="23" t="s">
        <v>18</v>
      </c>
      <c r="D20" s="23"/>
      <c r="E20" s="23"/>
      <c r="F20" s="23"/>
      <c r="G20" s="23"/>
      <c r="H20" s="23"/>
      <c r="I20" s="23"/>
      <c r="J20" s="23"/>
      <c r="K20" s="16"/>
      <c r="L20" s="16"/>
      <c r="M20" s="611">
        <f>NOR!P20</f>
        <v>0</v>
      </c>
      <c r="N20" s="611"/>
      <c r="O20" s="24"/>
      <c r="P20" s="23"/>
    </row>
    <row r="21" spans="2:16" ht="15.75">
      <c r="B21" s="15"/>
      <c r="C21" s="30"/>
      <c r="D21" s="30"/>
      <c r="E21" s="30"/>
      <c r="F21" s="30"/>
      <c r="G21" s="30"/>
      <c r="H21" s="30"/>
      <c r="I21" s="30"/>
      <c r="J21" s="30"/>
      <c r="K21" s="16"/>
      <c r="L21" s="16"/>
      <c r="M21" s="612" t="s">
        <v>19</v>
      </c>
      <c r="N21" s="612"/>
      <c r="O21" s="24"/>
    </row>
    <row r="22" spans="2:16" ht="15.75">
      <c r="B22" s="15"/>
      <c r="C22" s="30" t="s">
        <v>20</v>
      </c>
      <c r="D22" s="30"/>
      <c r="E22" s="30"/>
      <c r="F22" s="30"/>
      <c r="G22" s="30"/>
      <c r="H22" s="30"/>
      <c r="I22" s="30"/>
      <c r="J22" s="30"/>
      <c r="K22" s="30"/>
      <c r="L22" s="30"/>
      <c r="M22" s="30"/>
      <c r="N22" s="30"/>
      <c r="O22" s="24"/>
    </row>
    <row r="23" spans="2:16" ht="15.75">
      <c r="B23" s="15"/>
      <c r="C23" s="30"/>
      <c r="D23" s="30"/>
      <c r="E23" s="30"/>
      <c r="F23" s="30"/>
      <c r="G23" s="30"/>
      <c r="H23" s="30"/>
      <c r="I23" s="30"/>
      <c r="J23" s="30"/>
      <c r="K23" s="30"/>
      <c r="L23" s="30"/>
      <c r="M23" s="30"/>
      <c r="N23" s="30"/>
      <c r="O23" s="24"/>
    </row>
    <row r="24" spans="2:16" ht="7.5" customHeight="1">
      <c r="B24" s="15"/>
      <c r="C24" s="30"/>
      <c r="D24" s="30"/>
      <c r="E24" s="30"/>
      <c r="F24" s="30"/>
      <c r="G24" s="30"/>
      <c r="H24" s="30"/>
      <c r="I24" s="30"/>
      <c r="J24" s="30"/>
      <c r="K24" s="30"/>
      <c r="L24" s="30"/>
      <c r="M24" s="30"/>
      <c r="N24" s="30"/>
      <c r="O24" s="24"/>
    </row>
    <row r="25" spans="2:16" ht="15.75">
      <c r="B25" s="15"/>
      <c r="C25" s="638" t="s">
        <v>21</v>
      </c>
      <c r="D25" s="638"/>
      <c r="E25" s="638"/>
      <c r="F25" s="638"/>
      <c r="G25" s="638"/>
      <c r="H25" s="638"/>
      <c r="I25" s="638"/>
      <c r="J25" s="638"/>
      <c r="K25" s="638"/>
      <c r="L25" s="638"/>
      <c r="M25" s="638"/>
      <c r="N25" s="638"/>
      <c r="O25" s="24"/>
    </row>
    <row r="26" spans="2:16" ht="15.75" customHeight="1">
      <c r="B26" s="15"/>
      <c r="C26" s="31"/>
      <c r="D26" s="635" t="s">
        <v>321</v>
      </c>
      <c r="E26" s="635"/>
      <c r="F26" s="635"/>
      <c r="G26" s="635"/>
      <c r="H26" s="636"/>
      <c r="I26" s="636"/>
      <c r="J26" s="636"/>
      <c r="K26" s="637" t="s">
        <v>252</v>
      </c>
      <c r="L26" s="637"/>
      <c r="M26" s="637"/>
      <c r="N26" s="637"/>
      <c r="O26" s="24"/>
    </row>
    <row r="27" spans="2:16" ht="15.75" customHeight="1">
      <c r="B27" s="15"/>
      <c r="C27" s="31"/>
      <c r="D27" s="635" t="s">
        <v>322</v>
      </c>
      <c r="E27" s="635"/>
      <c r="F27" s="635"/>
      <c r="G27" s="635"/>
      <c r="H27" s="636"/>
      <c r="I27" s="636"/>
      <c r="J27" s="636"/>
      <c r="K27" s="637" t="s">
        <v>263</v>
      </c>
      <c r="L27" s="637"/>
      <c r="M27" s="637"/>
      <c r="N27" s="637"/>
      <c r="O27" s="24"/>
    </row>
    <row r="28" spans="2:16" ht="15.75" customHeight="1">
      <c r="B28" s="15"/>
      <c r="C28" s="31"/>
      <c r="D28" s="635" t="s">
        <v>339</v>
      </c>
      <c r="E28" s="635"/>
      <c r="F28" s="635"/>
      <c r="G28" s="635"/>
      <c r="H28" s="636"/>
      <c r="I28" s="636"/>
      <c r="J28" s="636"/>
      <c r="K28" s="637" t="s">
        <v>263</v>
      </c>
      <c r="L28" s="637"/>
      <c r="M28" s="637"/>
      <c r="N28" s="637"/>
      <c r="O28" s="24"/>
    </row>
    <row r="29" spans="2:16" ht="15.75">
      <c r="B29" s="15"/>
      <c r="C29" s="31"/>
      <c r="D29" s="635" t="s">
        <v>340</v>
      </c>
      <c r="E29" s="635"/>
      <c r="F29" s="635"/>
      <c r="G29" s="635"/>
      <c r="H29" s="636"/>
      <c r="I29" s="636"/>
      <c r="J29" s="636"/>
      <c r="K29" s="637" t="s">
        <v>263</v>
      </c>
      <c r="L29" s="637"/>
      <c r="M29" s="637"/>
      <c r="N29" s="637"/>
      <c r="O29" s="24"/>
    </row>
    <row r="30" spans="2:16" ht="15.75" customHeight="1">
      <c r="B30" s="15"/>
      <c r="C30" s="31"/>
      <c r="D30" s="635" t="s">
        <v>341</v>
      </c>
      <c r="E30" s="635"/>
      <c r="F30" s="635"/>
      <c r="G30" s="635"/>
      <c r="H30" s="636"/>
      <c r="I30" s="636"/>
      <c r="J30" s="636"/>
      <c r="K30" s="637" t="s">
        <v>263</v>
      </c>
      <c r="L30" s="637"/>
      <c r="M30" s="637"/>
      <c r="N30" s="637"/>
      <c r="O30" s="24"/>
    </row>
    <row r="31" spans="2:16" ht="15.75" customHeight="1">
      <c r="B31" s="15"/>
      <c r="C31" s="31"/>
      <c r="D31" s="635" t="s">
        <v>343</v>
      </c>
      <c r="E31" s="635"/>
      <c r="F31" s="635"/>
      <c r="G31" s="635"/>
      <c r="H31" s="636"/>
      <c r="I31" s="636"/>
      <c r="J31" s="636"/>
      <c r="K31" s="637" t="s">
        <v>324</v>
      </c>
      <c r="L31" s="637"/>
      <c r="M31" s="637"/>
      <c r="N31" s="637"/>
      <c r="O31" s="24"/>
    </row>
    <row r="32" spans="2:16" ht="15.75">
      <c r="B32" s="15"/>
      <c r="C32" s="30"/>
      <c r="D32" s="635"/>
      <c r="E32" s="635"/>
      <c r="F32" s="635"/>
      <c r="G32" s="635"/>
      <c r="H32" s="30"/>
      <c r="I32" s="30"/>
      <c r="J32" s="30"/>
      <c r="K32" s="637"/>
      <c r="L32" s="637"/>
      <c r="M32" s="637"/>
      <c r="N32" s="637"/>
      <c r="O32" s="24"/>
    </row>
    <row r="33" spans="2:15" ht="15.75">
      <c r="B33" s="15"/>
      <c r="C33" s="30"/>
      <c r="D33" s="30"/>
      <c r="E33" s="30"/>
      <c r="F33" s="30"/>
      <c r="G33" s="30"/>
      <c r="H33" s="30"/>
      <c r="I33" s="30"/>
      <c r="J33" s="30"/>
      <c r="K33" s="234"/>
      <c r="L33" s="234"/>
      <c r="M33" s="234"/>
      <c r="N33" s="234"/>
      <c r="O33" s="24"/>
    </row>
    <row r="34" spans="2:15" ht="15.75">
      <c r="B34" s="15"/>
      <c r="C34" s="30" t="s">
        <v>22</v>
      </c>
      <c r="D34" s="30"/>
      <c r="E34" s="30"/>
      <c r="F34" s="30"/>
      <c r="G34" s="30"/>
      <c r="H34" s="30"/>
      <c r="I34" s="30"/>
      <c r="J34" s="30"/>
      <c r="K34" s="30"/>
      <c r="L34" s="30"/>
      <c r="M34" s="30"/>
      <c r="N34" s="30"/>
      <c r="O34" s="24"/>
    </row>
    <row r="35" spans="2:15" ht="15.75">
      <c r="B35" s="15"/>
      <c r="C35" s="30"/>
      <c r="D35" s="30"/>
      <c r="E35" s="30"/>
      <c r="F35" s="30"/>
      <c r="G35" s="30"/>
      <c r="H35" s="30"/>
      <c r="I35" s="30"/>
      <c r="J35" s="30"/>
      <c r="K35" s="30"/>
      <c r="L35" s="30"/>
      <c r="M35" s="30"/>
      <c r="N35" s="30"/>
      <c r="O35" s="24"/>
    </row>
    <row r="36" spans="2:15" ht="15.75">
      <c r="B36" s="15"/>
      <c r="C36" s="30"/>
      <c r="D36" s="30"/>
      <c r="E36" s="30"/>
      <c r="F36" s="30"/>
      <c r="G36" s="30"/>
      <c r="H36" s="30"/>
      <c r="I36" s="30"/>
      <c r="J36" s="30"/>
      <c r="K36" s="30"/>
      <c r="L36" s="30"/>
      <c r="M36" s="30"/>
      <c r="N36" s="30"/>
      <c r="O36" s="24"/>
    </row>
    <row r="37" spans="2:15" ht="15.75">
      <c r="B37" s="15"/>
      <c r="C37" s="30"/>
      <c r="D37" s="613">
        <f>NOR!O33</f>
        <v>0</v>
      </c>
      <c r="E37" s="613"/>
      <c r="F37" s="613"/>
      <c r="G37" s="30"/>
      <c r="H37" s="30"/>
      <c r="I37" s="30"/>
      <c r="J37" s="30"/>
      <c r="K37" s="30"/>
      <c r="L37" s="30"/>
      <c r="M37" s="30"/>
      <c r="N37" s="30"/>
      <c r="O37" s="24"/>
    </row>
    <row r="38" spans="2:15" ht="15.75">
      <c r="B38" s="15"/>
      <c r="C38" s="30"/>
      <c r="D38" s="614" t="s">
        <v>23</v>
      </c>
      <c r="E38" s="614"/>
      <c r="F38" s="614"/>
      <c r="G38" s="30"/>
      <c r="H38" s="30"/>
      <c r="I38" s="30"/>
      <c r="J38" s="30"/>
      <c r="K38" s="30"/>
      <c r="L38" s="30"/>
      <c r="M38" s="30"/>
      <c r="N38" s="30"/>
      <c r="O38" s="24"/>
    </row>
    <row r="39" spans="2:15" ht="15.75">
      <c r="B39" s="15"/>
      <c r="C39" s="30"/>
      <c r="D39" s="30"/>
      <c r="E39" s="30"/>
      <c r="F39" s="30"/>
      <c r="G39" s="30"/>
      <c r="H39" s="30"/>
      <c r="I39" s="30"/>
      <c r="J39" s="30"/>
      <c r="K39" s="30"/>
      <c r="L39" s="30"/>
      <c r="M39" s="30"/>
      <c r="N39" s="30"/>
      <c r="O39" s="24"/>
    </row>
    <row r="40" spans="2:15" ht="15.75">
      <c r="B40" s="15"/>
      <c r="C40" s="30"/>
      <c r="D40" s="30"/>
      <c r="E40" s="32" t="s">
        <v>24</v>
      </c>
      <c r="F40" s="33"/>
      <c r="G40" s="609"/>
      <c r="H40" s="609"/>
      <c r="I40" s="609"/>
      <c r="J40" s="609"/>
      <c r="K40" s="609"/>
      <c r="L40" s="30"/>
      <c r="M40" s="30"/>
      <c r="N40" s="30"/>
      <c r="O40" s="24"/>
    </row>
    <row r="41" spans="2:15" ht="15.75">
      <c r="B41" s="15"/>
      <c r="C41" s="30"/>
      <c r="D41" s="30"/>
      <c r="E41" s="32" t="s">
        <v>25</v>
      </c>
      <c r="F41" s="34"/>
      <c r="G41" s="607"/>
      <c r="H41" s="607"/>
      <c r="I41" s="607"/>
      <c r="J41" s="607"/>
      <c r="K41" s="607"/>
      <c r="L41" s="30"/>
      <c r="M41" s="30"/>
      <c r="N41" s="30"/>
      <c r="O41" s="24"/>
    </row>
    <row r="42" spans="2:15" ht="15.75">
      <c r="B42" s="15"/>
      <c r="C42" s="30"/>
      <c r="D42" s="30"/>
      <c r="E42" s="32" t="s">
        <v>26</v>
      </c>
      <c r="F42" s="34"/>
      <c r="G42" s="608"/>
      <c r="H42" s="608"/>
      <c r="I42" s="608"/>
      <c r="J42" s="608"/>
      <c r="K42" s="608"/>
      <c r="L42" s="30"/>
      <c r="M42" s="30"/>
      <c r="N42" s="30"/>
      <c r="O42" s="24"/>
    </row>
    <row r="43" spans="2:15" ht="15.75">
      <c r="B43" s="15"/>
      <c r="C43" s="30"/>
      <c r="D43" s="30"/>
      <c r="E43" s="16"/>
      <c r="F43" s="16"/>
      <c r="G43" s="35"/>
      <c r="H43" s="35"/>
      <c r="I43" s="35"/>
      <c r="J43" s="35"/>
      <c r="K43" s="35"/>
      <c r="L43" s="30"/>
      <c r="M43" s="30"/>
      <c r="N43" s="30"/>
      <c r="O43" s="24"/>
    </row>
    <row r="44" spans="2:15" ht="15.75">
      <c r="B44" s="15"/>
      <c r="C44" s="30"/>
      <c r="D44" s="30"/>
      <c r="E44" s="32" t="s">
        <v>27</v>
      </c>
      <c r="F44" s="33"/>
      <c r="G44" s="609"/>
      <c r="H44" s="609"/>
      <c r="I44" s="609"/>
      <c r="J44" s="609"/>
      <c r="K44" s="609"/>
      <c r="L44" s="30"/>
      <c r="M44" s="30"/>
      <c r="N44" s="30"/>
      <c r="O44" s="24"/>
    </row>
    <row r="45" spans="2:15" ht="16.5" thickBot="1">
      <c r="B45" s="36"/>
      <c r="C45" s="37"/>
      <c r="D45" s="37"/>
      <c r="E45" s="37"/>
      <c r="F45" s="37"/>
      <c r="G45" s="37"/>
      <c r="H45" s="37"/>
      <c r="I45" s="37"/>
      <c r="J45" s="37"/>
      <c r="K45" s="37"/>
      <c r="L45" s="37"/>
      <c r="M45" s="37"/>
      <c r="N45" s="37"/>
      <c r="O45" s="38"/>
    </row>
    <row r="46" spans="2:15" ht="15.75">
      <c r="B46" s="4"/>
      <c r="C46" s="39"/>
      <c r="D46" s="39"/>
      <c r="E46" s="39"/>
      <c r="F46" s="39"/>
      <c r="G46" s="39"/>
      <c r="H46" s="39"/>
      <c r="I46" s="39"/>
      <c r="J46" s="39"/>
      <c r="K46" s="39"/>
      <c r="L46" s="39"/>
      <c r="M46" s="39"/>
      <c r="N46" s="39"/>
    </row>
  </sheetData>
  <mergeCells count="52">
    <mergeCell ref="C9:D9"/>
    <mergeCell ref="E9:H9"/>
    <mergeCell ref="L9:N9"/>
    <mergeCell ref="G2:K3"/>
    <mergeCell ref="C5:D5"/>
    <mergeCell ref="E5:H5"/>
    <mergeCell ref="L5:N5"/>
    <mergeCell ref="C6:D6"/>
    <mergeCell ref="E6:H6"/>
    <mergeCell ref="L6:N6"/>
    <mergeCell ref="C7:D7"/>
    <mergeCell ref="E7:H7"/>
    <mergeCell ref="L7:N7"/>
    <mergeCell ref="E8:H8"/>
    <mergeCell ref="L8:N8"/>
    <mergeCell ref="F13:H13"/>
    <mergeCell ref="F14:I14"/>
    <mergeCell ref="C16:F16"/>
    <mergeCell ref="H16:M16"/>
    <mergeCell ref="C17:F17"/>
    <mergeCell ref="H17:K17"/>
    <mergeCell ref="L17:N18"/>
    <mergeCell ref="L19:N19"/>
    <mergeCell ref="M20:N20"/>
    <mergeCell ref="M21:N21"/>
    <mergeCell ref="C25:N25"/>
    <mergeCell ref="D26:G26"/>
    <mergeCell ref="H26:J26"/>
    <mergeCell ref="K26:N26"/>
    <mergeCell ref="D27:G27"/>
    <mergeCell ref="H27:J27"/>
    <mergeCell ref="K27:N27"/>
    <mergeCell ref="D28:G28"/>
    <mergeCell ref="H28:J28"/>
    <mergeCell ref="K28:N28"/>
    <mergeCell ref="D37:F37"/>
    <mergeCell ref="D29:G29"/>
    <mergeCell ref="H29:J29"/>
    <mergeCell ref="K29:N29"/>
    <mergeCell ref="D30:G30"/>
    <mergeCell ref="H30:J30"/>
    <mergeCell ref="K30:N30"/>
    <mergeCell ref="D31:G31"/>
    <mergeCell ref="H31:J31"/>
    <mergeCell ref="K31:N31"/>
    <mergeCell ref="D32:G32"/>
    <mergeCell ref="K32:N32"/>
    <mergeCell ref="D38:F38"/>
    <mergeCell ref="G40:K40"/>
    <mergeCell ref="G41:K41"/>
    <mergeCell ref="G42:K42"/>
    <mergeCell ref="G44:K44"/>
  </mergeCells>
  <pageMargins left="0.31496062992125984" right="0.11811023622047245" top="0.74803149606299213" bottom="0.74803149606299213" header="0.31496062992125984" footer="0.31496062992125984"/>
  <pageSetup paperSize="9" scale="98"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tabColor rgb="FF00B050"/>
  </sheetPr>
  <dimension ref="A1:AP50"/>
  <sheetViews>
    <sheetView workbookViewId="0">
      <selection activeCell="M11" sqref="M11"/>
    </sheetView>
  </sheetViews>
  <sheetFormatPr baseColWidth="10" defaultColWidth="9" defaultRowHeight="12.75"/>
  <cols>
    <col min="1" max="20" width="4.85546875" customWidth="1"/>
    <col min="21" max="22" width="4.28515625" customWidth="1"/>
    <col min="23" max="24" width="4.85546875" customWidth="1"/>
    <col min="25" max="25" width="19.28515625" customWidth="1"/>
    <col min="26" max="26" width="20.42578125" customWidth="1"/>
    <col min="27" max="28" width="21.140625" customWidth="1"/>
    <col min="29" max="51" width="4.85546875" customWidth="1"/>
  </cols>
  <sheetData>
    <row r="1" spans="1:42" ht="21" customHeight="1">
      <c r="A1" s="358"/>
      <c r="B1" s="297"/>
      <c r="C1" s="297"/>
      <c r="D1" s="297"/>
      <c r="E1" s="297"/>
      <c r="F1" s="589" t="s">
        <v>487</v>
      </c>
      <c r="G1" s="589"/>
      <c r="H1" s="589"/>
      <c r="I1" s="589"/>
      <c r="J1" s="589"/>
      <c r="K1" s="589"/>
      <c r="L1" s="589"/>
      <c r="M1" s="589"/>
      <c r="N1" s="589"/>
      <c r="O1" s="590"/>
      <c r="P1" s="593"/>
      <c r="Q1" s="594"/>
      <c r="R1" s="596"/>
      <c r="S1" s="593" t="s">
        <v>2</v>
      </c>
      <c r="T1" s="594"/>
      <c r="U1" s="595"/>
      <c r="V1" s="339"/>
      <c r="W1" s="339"/>
      <c r="X1" s="339"/>
      <c r="Y1" s="530" t="s">
        <v>450</v>
      </c>
      <c r="Z1" s="531"/>
      <c r="AA1" s="531"/>
      <c r="AB1" s="531"/>
      <c r="AC1" s="531"/>
      <c r="AD1" s="531"/>
      <c r="AE1" s="531"/>
      <c r="AF1" s="531"/>
      <c r="AG1" s="532"/>
      <c r="AH1" s="339"/>
      <c r="AI1" s="339"/>
      <c r="AJ1" s="339"/>
      <c r="AK1" s="339"/>
      <c r="AL1" s="339"/>
      <c r="AM1" s="339"/>
      <c r="AN1" s="339"/>
      <c r="AO1" s="339"/>
      <c r="AP1" s="339"/>
    </row>
    <row r="2" spans="1:42" ht="21" customHeight="1" thickBot="1">
      <c r="A2" s="10"/>
      <c r="B2" s="11"/>
      <c r="C2" s="11"/>
      <c r="D2" s="11"/>
      <c r="E2" s="11"/>
      <c r="F2" s="591"/>
      <c r="G2" s="591"/>
      <c r="H2" s="591"/>
      <c r="I2" s="591"/>
      <c r="J2" s="591"/>
      <c r="K2" s="591"/>
      <c r="L2" s="591"/>
      <c r="M2" s="591"/>
      <c r="N2" s="591"/>
      <c r="O2" s="592"/>
      <c r="P2" s="585" t="s">
        <v>514</v>
      </c>
      <c r="Q2" s="586"/>
      <c r="R2" s="587"/>
      <c r="S2" s="486" t="s">
        <v>572</v>
      </c>
      <c r="T2" s="487"/>
      <c r="U2" s="488"/>
      <c r="V2" s="339"/>
      <c r="W2" s="339"/>
      <c r="X2" s="339"/>
      <c r="Y2" s="533"/>
      <c r="Z2" s="534"/>
      <c r="AA2" s="534"/>
      <c r="AB2" s="534"/>
      <c r="AC2" s="534"/>
      <c r="AD2" s="534"/>
      <c r="AE2" s="534"/>
      <c r="AF2" s="534"/>
      <c r="AG2" s="535"/>
      <c r="AH2" s="339"/>
      <c r="AI2" s="339"/>
      <c r="AJ2" s="339"/>
      <c r="AK2" s="339"/>
      <c r="AL2" s="339"/>
      <c r="AM2" s="339"/>
      <c r="AN2" s="339"/>
      <c r="AO2" s="339"/>
      <c r="AP2" s="339"/>
    </row>
    <row r="3" spans="1:42" ht="15.95" customHeight="1">
      <c r="A3" s="293"/>
      <c r="B3" s="359"/>
      <c r="C3" s="359"/>
      <c r="D3" s="359"/>
      <c r="E3" s="359"/>
      <c r="F3" s="359"/>
      <c r="G3" s="359"/>
      <c r="H3" s="359"/>
      <c r="I3" s="359"/>
      <c r="J3" s="360"/>
      <c r="K3" s="360"/>
      <c r="L3" s="360"/>
      <c r="M3" s="360"/>
      <c r="N3" s="360"/>
      <c r="O3" s="361"/>
      <c r="P3" s="362"/>
      <c r="Q3" s="363"/>
      <c r="R3" s="363"/>
      <c r="S3" s="363"/>
      <c r="T3" s="363"/>
      <c r="U3" s="21"/>
      <c r="V3" s="339"/>
      <c r="W3" s="339"/>
      <c r="X3" s="339"/>
      <c r="Y3" s="566" t="s">
        <v>539</v>
      </c>
      <c r="Z3" s="567"/>
      <c r="AA3" s="567"/>
      <c r="AB3" s="567"/>
      <c r="AC3" s="567"/>
      <c r="AD3" s="567"/>
      <c r="AE3" s="567"/>
      <c r="AF3" s="567"/>
      <c r="AG3" s="568"/>
      <c r="AH3" s="339"/>
      <c r="AI3" s="339"/>
      <c r="AJ3" s="339"/>
      <c r="AK3" s="339"/>
      <c r="AL3" s="339"/>
      <c r="AM3" s="339"/>
      <c r="AN3" s="339"/>
      <c r="AO3" s="339"/>
      <c r="AP3" s="339"/>
    </row>
    <row r="4" spans="1:42" ht="15.95" customHeight="1">
      <c r="A4" s="315" t="s">
        <v>4</v>
      </c>
      <c r="B4" s="606"/>
      <c r="C4" s="588"/>
      <c r="D4" s="588"/>
      <c r="E4" s="588"/>
      <c r="F4" s="588"/>
      <c r="G4" s="588"/>
      <c r="H4" s="588"/>
      <c r="I4" s="588"/>
      <c r="J4" s="588"/>
      <c r="K4" s="364"/>
      <c r="L4" s="364"/>
      <c r="M4" s="581" t="s">
        <v>5</v>
      </c>
      <c r="N4" s="581"/>
      <c r="O4" s="581"/>
      <c r="P4" s="605" t="str">
        <f>IF('Data Entry'!B8="","",'Data Entry'!B8)</f>
        <v/>
      </c>
      <c r="Q4" s="605"/>
      <c r="R4" s="605"/>
      <c r="S4" s="605"/>
      <c r="T4" s="605"/>
      <c r="U4" s="24"/>
      <c r="V4" s="339"/>
      <c r="W4" s="339"/>
      <c r="X4" s="339"/>
      <c r="Y4" s="569"/>
      <c r="Z4" s="570"/>
      <c r="AA4" s="570"/>
      <c r="AB4" s="570"/>
      <c r="AC4" s="570"/>
      <c r="AD4" s="570"/>
      <c r="AE4" s="570"/>
      <c r="AF4" s="570"/>
      <c r="AG4" s="571"/>
      <c r="AH4" s="339"/>
      <c r="AI4" s="339"/>
      <c r="AJ4" s="339"/>
      <c r="AK4" s="339"/>
      <c r="AL4" s="339"/>
      <c r="AM4" s="339"/>
      <c r="AN4" s="339"/>
      <c r="AO4" s="339"/>
      <c r="AP4" s="339"/>
    </row>
    <row r="5" spans="1:42" ht="15.95" customHeight="1">
      <c r="A5" s="294"/>
      <c r="B5" s="588" t="str">
        <f>IF('Data Entry'!B19="","",'Data Entry'!B19)</f>
        <v/>
      </c>
      <c r="C5" s="588"/>
      <c r="D5" s="588"/>
      <c r="E5" s="588"/>
      <c r="F5" s="588"/>
      <c r="G5" s="588"/>
      <c r="H5" s="588"/>
      <c r="I5" s="588"/>
      <c r="J5" s="588"/>
      <c r="K5" s="364"/>
      <c r="L5" s="364"/>
      <c r="M5" s="581" t="s">
        <v>7</v>
      </c>
      <c r="N5" s="581"/>
      <c r="O5" s="581"/>
      <c r="P5" s="597"/>
      <c r="Q5" s="597"/>
      <c r="R5" s="597"/>
      <c r="S5" s="597"/>
      <c r="T5" s="597"/>
      <c r="U5" s="24"/>
      <c r="V5" s="339"/>
      <c r="W5" s="339"/>
      <c r="X5" s="339"/>
      <c r="Y5" s="569"/>
      <c r="Z5" s="570"/>
      <c r="AA5" s="570"/>
      <c r="AB5" s="570"/>
      <c r="AC5" s="570"/>
      <c r="AD5" s="570"/>
      <c r="AE5" s="570"/>
      <c r="AF5" s="570"/>
      <c r="AG5" s="571"/>
      <c r="AH5" s="339"/>
      <c r="AI5" s="339"/>
      <c r="AJ5" s="339"/>
      <c r="AK5" s="339"/>
      <c r="AL5" s="339"/>
      <c r="AM5" s="339"/>
      <c r="AN5" s="339"/>
      <c r="AO5" s="339"/>
      <c r="AP5" s="339"/>
    </row>
    <row r="6" spans="1:42" ht="15.95" customHeight="1">
      <c r="A6" s="294"/>
      <c r="B6" s="588" t="str">
        <f>IF('Data Entry'!B29="","",'Data Entry'!B29)</f>
        <v/>
      </c>
      <c r="C6" s="588"/>
      <c r="D6" s="588"/>
      <c r="E6" s="588"/>
      <c r="F6" s="588"/>
      <c r="G6" s="588"/>
      <c r="H6" s="588"/>
      <c r="I6" s="588"/>
      <c r="J6" s="588"/>
      <c r="K6" s="364"/>
      <c r="L6" s="364"/>
      <c r="M6" s="581" t="s">
        <v>8</v>
      </c>
      <c r="N6" s="581"/>
      <c r="O6" s="581"/>
      <c r="P6" s="597" t="str">
        <f>IF('Data Entry'!B17="","",'Data Entry'!B17)</f>
        <v/>
      </c>
      <c r="Q6" s="597"/>
      <c r="R6" s="597"/>
      <c r="S6" s="597"/>
      <c r="T6" s="597"/>
      <c r="U6" s="24"/>
      <c r="V6" s="339"/>
      <c r="W6" s="339"/>
      <c r="X6" s="339"/>
      <c r="Y6" s="569"/>
      <c r="Z6" s="570"/>
      <c r="AA6" s="570"/>
      <c r="AB6" s="570"/>
      <c r="AC6" s="570"/>
      <c r="AD6" s="570"/>
      <c r="AE6" s="570"/>
      <c r="AF6" s="570"/>
      <c r="AG6" s="571"/>
      <c r="AH6" s="339"/>
      <c r="AI6" s="339"/>
      <c r="AJ6" s="339"/>
      <c r="AK6" s="339"/>
      <c r="AL6" s="339"/>
      <c r="AM6" s="339"/>
      <c r="AN6" s="339"/>
      <c r="AO6" s="339"/>
      <c r="AP6" s="339"/>
    </row>
    <row r="7" spans="1:42" ht="15.95" customHeight="1">
      <c r="A7" s="294"/>
      <c r="B7" s="588" t="str">
        <f>IF('Data Entry'!B33="","",'Data Entry'!B33)</f>
        <v/>
      </c>
      <c r="C7" s="588"/>
      <c r="D7" s="588"/>
      <c r="E7" s="588"/>
      <c r="F7" s="588"/>
      <c r="G7" s="588"/>
      <c r="H7" s="588"/>
      <c r="I7" s="588"/>
      <c r="J7" s="588"/>
      <c r="K7" s="364"/>
      <c r="L7" s="364"/>
      <c r="M7" s="581" t="s">
        <v>515</v>
      </c>
      <c r="N7" s="581"/>
      <c r="O7" s="581"/>
      <c r="P7" s="582" t="str">
        <f>IF('Data Entry'!B23="","",'Data Entry'!B23)</f>
        <v/>
      </c>
      <c r="Q7" s="582"/>
      <c r="R7" s="582"/>
      <c r="S7" s="582"/>
      <c r="T7" s="582"/>
      <c r="U7" s="24"/>
      <c r="V7" s="339"/>
      <c r="W7" s="339"/>
      <c r="X7" s="339"/>
      <c r="Y7" s="569"/>
      <c r="Z7" s="570"/>
      <c r="AA7" s="570"/>
      <c r="AB7" s="570"/>
      <c r="AC7" s="570"/>
      <c r="AD7" s="570"/>
      <c r="AE7" s="570"/>
      <c r="AF7" s="570"/>
      <c r="AG7" s="571"/>
      <c r="AH7" s="339"/>
      <c r="AI7" s="339"/>
      <c r="AJ7" s="339"/>
      <c r="AK7" s="339"/>
      <c r="AL7" s="339"/>
      <c r="AM7" s="339"/>
      <c r="AN7" s="339"/>
      <c r="AO7" s="339"/>
      <c r="AP7" s="339"/>
    </row>
    <row r="8" spans="1:42" ht="15.95" customHeight="1">
      <c r="A8" s="293"/>
      <c r="B8" s="588" t="str">
        <f>IF('Data Entry'!B31="","",'Data Entry'!B31)</f>
        <v/>
      </c>
      <c r="C8" s="588"/>
      <c r="D8" s="588"/>
      <c r="E8" s="588"/>
      <c r="F8" s="588"/>
      <c r="G8" s="588"/>
      <c r="H8" s="588"/>
      <c r="I8" s="588"/>
      <c r="J8" s="588"/>
      <c r="K8" s="364"/>
      <c r="L8" s="364"/>
      <c r="M8" s="581" t="s">
        <v>9</v>
      </c>
      <c r="N8" s="581"/>
      <c r="O8" s="581"/>
      <c r="P8" s="582" t="s">
        <v>391</v>
      </c>
      <c r="Q8" s="582"/>
      <c r="R8" s="583"/>
      <c r="S8" s="583"/>
      <c r="T8" s="583"/>
      <c r="U8" s="24"/>
      <c r="V8" s="339"/>
      <c r="W8" s="339"/>
      <c r="X8" s="339"/>
      <c r="Y8" s="569"/>
      <c r="Z8" s="570"/>
      <c r="AA8" s="570"/>
      <c r="AB8" s="570"/>
      <c r="AC8" s="570"/>
      <c r="AD8" s="570"/>
      <c r="AE8" s="570"/>
      <c r="AF8" s="570"/>
      <c r="AG8" s="571"/>
      <c r="AH8" s="339"/>
      <c r="AI8" s="339"/>
      <c r="AJ8" s="339"/>
      <c r="AK8" s="339"/>
      <c r="AL8" s="339"/>
      <c r="AM8" s="339"/>
      <c r="AN8" s="339"/>
      <c r="AO8" s="339"/>
      <c r="AP8" s="339"/>
    </row>
    <row r="9" spans="1:42" ht="15.95" customHeight="1">
      <c r="A9" s="293"/>
      <c r="B9" s="588" t="s">
        <v>566</v>
      </c>
      <c r="C9" s="588"/>
      <c r="D9" s="588"/>
      <c r="E9" s="588"/>
      <c r="F9" s="588"/>
      <c r="G9" s="588"/>
      <c r="H9" s="588"/>
      <c r="I9" s="588"/>
      <c r="J9" s="588"/>
      <c r="K9" s="364"/>
      <c r="L9" s="364"/>
      <c r="M9" s="364"/>
      <c r="N9" s="364"/>
      <c r="O9" s="364"/>
      <c r="P9" s="364"/>
      <c r="Q9" s="365"/>
      <c r="R9" s="365"/>
      <c r="S9" s="365"/>
      <c r="T9" s="365"/>
      <c r="U9" s="24"/>
      <c r="V9" s="339"/>
      <c r="W9" s="339"/>
      <c r="X9" s="339"/>
      <c r="Y9" s="569"/>
      <c r="Z9" s="570"/>
      <c r="AA9" s="570"/>
      <c r="AB9" s="570"/>
      <c r="AC9" s="570"/>
      <c r="AD9" s="570"/>
      <c r="AE9" s="570"/>
      <c r="AF9" s="570"/>
      <c r="AG9" s="571"/>
      <c r="AH9" s="339"/>
      <c r="AI9" s="339"/>
      <c r="AJ9" s="339"/>
      <c r="AK9" s="339"/>
      <c r="AL9" s="339"/>
      <c r="AM9" s="339"/>
      <c r="AN9" s="339"/>
      <c r="AO9" s="339"/>
      <c r="AP9" s="339"/>
    </row>
    <row r="10" spans="1:42" ht="15.95" customHeight="1">
      <c r="A10" s="293"/>
      <c r="B10" s="380"/>
      <c r="C10" s="380"/>
      <c r="D10" s="380"/>
      <c r="E10" s="380"/>
      <c r="F10" s="380"/>
      <c r="G10" s="380"/>
      <c r="H10" s="380"/>
      <c r="I10" s="380"/>
      <c r="J10" s="380"/>
      <c r="K10" s="364"/>
      <c r="L10" s="364"/>
      <c r="M10" s="364"/>
      <c r="N10" s="364"/>
      <c r="O10" s="364"/>
      <c r="P10" s="364"/>
      <c r="Q10" s="365"/>
      <c r="R10" s="365"/>
      <c r="S10" s="365"/>
      <c r="T10" s="365"/>
      <c r="U10" s="24"/>
      <c r="V10" s="339"/>
      <c r="W10" s="339"/>
      <c r="X10" s="339"/>
      <c r="Y10" s="569"/>
      <c r="Z10" s="570"/>
      <c r="AA10" s="570"/>
      <c r="AB10" s="570"/>
      <c r="AC10" s="570"/>
      <c r="AD10" s="570"/>
      <c r="AE10" s="570"/>
      <c r="AF10" s="570"/>
      <c r="AG10" s="571"/>
      <c r="AH10" s="339"/>
      <c r="AI10" s="339"/>
      <c r="AJ10" s="339"/>
      <c r="AK10" s="339"/>
      <c r="AL10" s="339"/>
      <c r="AM10" s="339"/>
      <c r="AN10" s="339"/>
      <c r="AO10" s="339"/>
      <c r="AP10" s="339"/>
    </row>
    <row r="11" spans="1:42" ht="15.95" customHeight="1">
      <c r="A11" s="293"/>
      <c r="B11" s="366"/>
      <c r="C11" s="366"/>
      <c r="D11" s="364"/>
      <c r="E11" s="364"/>
      <c r="F11" s="364"/>
      <c r="G11" s="364"/>
      <c r="H11" s="364"/>
      <c r="I11" s="364"/>
      <c r="J11" s="364"/>
      <c r="K11" s="364"/>
      <c r="L11" s="364"/>
      <c r="M11" s="364"/>
      <c r="N11" s="364"/>
      <c r="O11" s="364"/>
      <c r="P11" s="364"/>
      <c r="Q11" s="365"/>
      <c r="R11" s="365"/>
      <c r="S11" s="365"/>
      <c r="T11" s="365"/>
      <c r="U11" s="24"/>
      <c r="V11" s="339"/>
      <c r="W11" s="339"/>
      <c r="X11" s="339"/>
      <c r="Y11" s="569"/>
      <c r="Z11" s="570"/>
      <c r="AA11" s="570"/>
      <c r="AB11" s="570"/>
      <c r="AC11" s="570"/>
      <c r="AD11" s="570"/>
      <c r="AE11" s="570"/>
      <c r="AF11" s="570"/>
      <c r="AG11" s="571"/>
      <c r="AH11" s="339"/>
      <c r="AI11" s="339"/>
      <c r="AJ11" s="339"/>
      <c r="AK11" s="339"/>
      <c r="AL11" s="339"/>
      <c r="AM11" s="339"/>
      <c r="AN11" s="339"/>
      <c r="AO11" s="339"/>
      <c r="AP11" s="339"/>
    </row>
    <row r="12" spans="1:42" ht="15.95" customHeight="1">
      <c r="A12" s="367" t="s">
        <v>10</v>
      </c>
      <c r="B12" s="366"/>
      <c r="C12" s="366"/>
      <c r="D12" s="364"/>
      <c r="E12" s="364"/>
      <c r="F12" s="364"/>
      <c r="G12" s="364"/>
      <c r="H12" s="364"/>
      <c r="I12" s="364"/>
      <c r="J12" s="364"/>
      <c r="K12" s="364"/>
      <c r="L12" s="364"/>
      <c r="M12" s="364"/>
      <c r="N12" s="364"/>
      <c r="O12" s="364"/>
      <c r="P12" s="365"/>
      <c r="Q12" s="365"/>
      <c r="R12" s="365"/>
      <c r="S12" s="365"/>
      <c r="T12" s="365"/>
      <c r="U12" s="24"/>
      <c r="V12" s="339"/>
      <c r="W12" s="339"/>
      <c r="X12" s="339"/>
      <c r="Y12" s="569"/>
      <c r="Z12" s="570"/>
      <c r="AA12" s="570"/>
      <c r="AB12" s="570"/>
      <c r="AC12" s="570"/>
      <c r="AD12" s="570"/>
      <c r="AE12" s="570"/>
      <c r="AF12" s="570"/>
      <c r="AG12" s="571"/>
      <c r="AH12" s="339"/>
      <c r="AI12" s="339"/>
      <c r="AJ12" s="339"/>
      <c r="AK12" s="339"/>
      <c r="AL12" s="339"/>
      <c r="AM12" s="339"/>
      <c r="AN12" s="339"/>
      <c r="AO12" s="339"/>
      <c r="AP12" s="339"/>
    </row>
    <row r="13" spans="1:42" ht="15.95" customHeight="1">
      <c r="A13" s="293"/>
      <c r="B13" s="368" t="s">
        <v>11</v>
      </c>
      <c r="C13" s="368"/>
      <c r="D13" s="364"/>
      <c r="E13" s="364"/>
      <c r="F13" s="605" t="s">
        <v>438</v>
      </c>
      <c r="G13" s="605"/>
      <c r="H13" s="605"/>
      <c r="I13" s="364" t="s">
        <v>483</v>
      </c>
      <c r="J13" s="364"/>
      <c r="K13" s="364"/>
      <c r="L13" s="364"/>
      <c r="M13" s="364"/>
      <c r="N13" s="364"/>
      <c r="O13" s="369"/>
      <c r="P13" s="364"/>
      <c r="Q13" s="369"/>
      <c r="R13" s="369"/>
      <c r="S13" s="369"/>
      <c r="T13" s="364"/>
      <c r="U13" s="269"/>
      <c r="V13" s="339"/>
      <c r="W13" s="339"/>
      <c r="X13" s="339"/>
      <c r="Y13" s="569"/>
      <c r="Z13" s="570"/>
      <c r="AA13" s="570"/>
      <c r="AB13" s="570"/>
      <c r="AC13" s="570"/>
      <c r="AD13" s="570"/>
      <c r="AE13" s="570"/>
      <c r="AF13" s="570"/>
      <c r="AG13" s="571"/>
      <c r="AH13" s="339"/>
      <c r="AI13" s="339"/>
      <c r="AJ13" s="339"/>
      <c r="AK13" s="339"/>
      <c r="AL13" s="339"/>
      <c r="AM13" s="339"/>
      <c r="AN13" s="339"/>
      <c r="AO13" s="339"/>
      <c r="AP13" s="339"/>
    </row>
    <row r="14" spans="1:42" ht="15.95" customHeight="1">
      <c r="A14" s="293"/>
      <c r="B14" s="368"/>
      <c r="C14" s="368"/>
      <c r="D14" s="364"/>
      <c r="E14" s="364"/>
      <c r="F14" s="576" t="s">
        <v>13</v>
      </c>
      <c r="G14" s="576"/>
      <c r="H14" s="576"/>
      <c r="I14" s="369"/>
      <c r="J14" s="369"/>
      <c r="K14" s="370"/>
      <c r="L14" s="370"/>
      <c r="M14" s="364"/>
      <c r="N14" s="364"/>
      <c r="O14" s="371"/>
      <c r="P14" s="365"/>
      <c r="Q14" s="365"/>
      <c r="R14" s="365"/>
      <c r="S14" s="365"/>
      <c r="T14" s="365"/>
      <c r="U14" s="24"/>
      <c r="V14" s="339"/>
      <c r="W14" s="339"/>
      <c r="X14" s="339"/>
      <c r="Y14" s="569"/>
      <c r="Z14" s="570"/>
      <c r="AA14" s="570"/>
      <c r="AB14" s="570"/>
      <c r="AC14" s="570"/>
      <c r="AD14" s="570"/>
      <c r="AE14" s="570"/>
      <c r="AF14" s="570"/>
      <c r="AG14" s="571"/>
      <c r="AH14" s="339"/>
      <c r="AI14" s="339"/>
      <c r="AJ14" s="339"/>
      <c r="AK14" s="339"/>
      <c r="AL14" s="339"/>
      <c r="AM14" s="339"/>
      <c r="AN14" s="339"/>
      <c r="AO14" s="339"/>
      <c r="AP14" s="339"/>
    </row>
    <row r="15" spans="1:42" ht="15.95" customHeight="1">
      <c r="A15" s="293"/>
      <c r="B15" s="577">
        <f>'Data Entry'!B17</f>
        <v>0</v>
      </c>
      <c r="C15" s="577"/>
      <c r="D15" s="584"/>
      <c r="E15" s="584"/>
      <c r="F15" s="584"/>
      <c r="G15" s="584"/>
      <c r="H15" s="584"/>
      <c r="I15" s="575" t="s">
        <v>484</v>
      </c>
      <c r="J15" s="575"/>
      <c r="K15" s="605"/>
      <c r="L15" s="605"/>
      <c r="M15" s="605"/>
      <c r="N15" s="605"/>
      <c r="O15" s="605"/>
      <c r="P15" s="605"/>
      <c r="Q15" s="372"/>
      <c r="R15" s="372"/>
      <c r="S15" s="372"/>
      <c r="T15" s="372"/>
      <c r="U15" s="296"/>
      <c r="V15" s="339"/>
      <c r="W15" s="339"/>
      <c r="X15" s="339"/>
      <c r="Y15" s="569"/>
      <c r="Z15" s="570"/>
      <c r="AA15" s="570"/>
      <c r="AB15" s="570"/>
      <c r="AC15" s="570"/>
      <c r="AD15" s="570"/>
      <c r="AE15" s="570"/>
      <c r="AF15" s="570"/>
      <c r="AG15" s="571"/>
      <c r="AH15" s="339"/>
      <c r="AI15" s="339"/>
      <c r="AJ15" s="339"/>
      <c r="AK15" s="339"/>
      <c r="AL15" s="339"/>
      <c r="AM15" s="339"/>
      <c r="AN15" s="339"/>
      <c r="AO15" s="339"/>
      <c r="AP15" s="339"/>
    </row>
    <row r="16" spans="1:42" ht="15.95" customHeight="1">
      <c r="A16" s="293"/>
      <c r="B16" s="576" t="s">
        <v>15</v>
      </c>
      <c r="C16" s="576"/>
      <c r="D16" s="576"/>
      <c r="E16" s="576"/>
      <c r="F16" s="576"/>
      <c r="G16" s="576"/>
      <c r="H16" s="576"/>
      <c r="I16" s="373"/>
      <c r="J16" s="364"/>
      <c r="K16" s="576" t="s">
        <v>16</v>
      </c>
      <c r="L16" s="576"/>
      <c r="M16" s="576"/>
      <c r="N16" s="576"/>
      <c r="O16" s="576"/>
      <c r="P16" s="576"/>
      <c r="Q16" s="374"/>
      <c r="R16" s="374"/>
      <c r="S16" s="374"/>
      <c r="T16" s="374"/>
      <c r="U16" s="24"/>
      <c r="V16" s="339"/>
      <c r="W16" s="339"/>
      <c r="X16" s="339"/>
      <c r="Y16" s="569"/>
      <c r="Z16" s="570"/>
      <c r="AA16" s="570"/>
      <c r="AB16" s="570"/>
      <c r="AC16" s="570"/>
      <c r="AD16" s="570"/>
      <c r="AE16" s="570"/>
      <c r="AF16" s="570"/>
      <c r="AG16" s="571"/>
      <c r="AH16" s="339"/>
      <c r="AI16" s="339"/>
      <c r="AJ16" s="339"/>
      <c r="AK16" s="339"/>
      <c r="AL16" s="339"/>
      <c r="AM16" s="339"/>
      <c r="AN16" s="339"/>
      <c r="AO16" s="339"/>
      <c r="AP16" s="339"/>
    </row>
    <row r="17" spans="1:42" ht="15.95" customHeight="1">
      <c r="A17" s="293"/>
      <c r="B17" s="578" t="s">
        <v>485</v>
      </c>
      <c r="C17" s="578"/>
      <c r="D17" s="578"/>
      <c r="E17" s="578"/>
      <c r="F17" s="578"/>
      <c r="G17" s="578"/>
      <c r="H17" s="578"/>
      <c r="I17" s="578"/>
      <c r="J17" s="578"/>
      <c r="K17" s="578"/>
      <c r="L17" s="578"/>
      <c r="M17" s="578"/>
      <c r="N17" s="578"/>
      <c r="O17" s="578"/>
      <c r="P17" s="578"/>
      <c r="Q17" s="578"/>
      <c r="R17" s="578"/>
      <c r="S17" s="578"/>
      <c r="T17" s="578"/>
      <c r="U17" s="270"/>
      <c r="V17" s="339"/>
      <c r="W17" s="339"/>
      <c r="Y17" s="569"/>
      <c r="Z17" s="570"/>
      <c r="AA17" s="570"/>
      <c r="AB17" s="570"/>
      <c r="AC17" s="570"/>
      <c r="AD17" s="570"/>
      <c r="AE17" s="570"/>
      <c r="AF17" s="570"/>
      <c r="AG17" s="571"/>
    </row>
    <row r="18" spans="1:42" s="339" customFormat="1" ht="15.95" customHeight="1">
      <c r="A18" s="293"/>
      <c r="B18" s="647">
        <f>NOR!B18</f>
        <v>0</v>
      </c>
      <c r="C18" s="647"/>
      <c r="D18" s="647"/>
      <c r="E18" s="647"/>
      <c r="F18" s="647"/>
      <c r="G18" s="647"/>
      <c r="H18" s="647"/>
      <c r="I18" s="647"/>
      <c r="J18" s="647"/>
      <c r="K18" s="647"/>
      <c r="L18" s="647"/>
      <c r="M18" s="647"/>
      <c r="N18" s="647"/>
      <c r="O18" s="647"/>
      <c r="P18" s="647"/>
      <c r="Q18" s="647"/>
      <c r="R18" s="647"/>
      <c r="S18" s="647"/>
      <c r="T18" s="647"/>
      <c r="U18" s="270"/>
      <c r="Y18" s="569"/>
      <c r="Z18" s="570"/>
      <c r="AA18" s="570"/>
      <c r="AB18" s="570"/>
      <c r="AC18" s="570"/>
      <c r="AD18" s="570"/>
      <c r="AE18" s="570"/>
      <c r="AF18" s="570"/>
      <c r="AG18" s="571"/>
    </row>
    <row r="19" spans="1:42" ht="15.95" customHeight="1">
      <c r="A19" s="293"/>
      <c r="B19" s="576" t="s">
        <v>532</v>
      </c>
      <c r="C19" s="576"/>
      <c r="D19" s="576"/>
      <c r="E19" s="576"/>
      <c r="F19" s="576"/>
      <c r="G19" s="576"/>
      <c r="H19" s="576"/>
      <c r="I19" s="576"/>
      <c r="J19" s="576"/>
      <c r="K19" s="576"/>
      <c r="L19" s="576"/>
      <c r="M19" s="576"/>
      <c r="N19" s="576"/>
      <c r="O19" s="576"/>
      <c r="P19" s="576"/>
      <c r="Q19" s="576"/>
      <c r="R19" s="576"/>
      <c r="S19" s="576"/>
      <c r="T19" s="576"/>
      <c r="U19" s="270"/>
      <c r="V19" s="339"/>
      <c r="W19" s="339"/>
      <c r="X19" s="339"/>
      <c r="Y19" s="569"/>
      <c r="Z19" s="570"/>
      <c r="AA19" s="570"/>
      <c r="AB19" s="570"/>
      <c r="AC19" s="570"/>
      <c r="AD19" s="570"/>
      <c r="AE19" s="570"/>
      <c r="AF19" s="570"/>
      <c r="AG19" s="571"/>
      <c r="AH19" s="339"/>
      <c r="AI19" s="339"/>
      <c r="AJ19" s="339"/>
      <c r="AK19" s="339"/>
      <c r="AL19" s="339"/>
      <c r="AM19" s="339"/>
      <c r="AN19" s="339"/>
      <c r="AO19" s="339"/>
      <c r="AP19" s="339"/>
    </row>
    <row r="20" spans="1:42" ht="15.95" customHeight="1">
      <c r="A20" s="293"/>
      <c r="B20" s="364" t="s">
        <v>18</v>
      </c>
      <c r="C20" s="364"/>
      <c r="D20" s="364"/>
      <c r="E20" s="364"/>
      <c r="F20" s="364"/>
      <c r="G20" s="364"/>
      <c r="H20" s="364"/>
      <c r="I20" s="364"/>
      <c r="J20" s="364"/>
      <c r="K20" s="364"/>
      <c r="L20" s="364"/>
      <c r="M20" s="364"/>
      <c r="N20" s="359"/>
      <c r="O20" s="359"/>
      <c r="P20" s="601">
        <f>'Data Entry'!B15</f>
        <v>0</v>
      </c>
      <c r="Q20" s="601"/>
      <c r="R20" s="601"/>
      <c r="S20" s="601"/>
      <c r="T20" s="601"/>
      <c r="U20" s="24"/>
      <c r="V20" s="339"/>
      <c r="W20" s="339"/>
      <c r="X20" s="339"/>
      <c r="Y20" s="569"/>
      <c r="Z20" s="570"/>
      <c r="AA20" s="570"/>
      <c r="AB20" s="570"/>
      <c r="AC20" s="570"/>
      <c r="AD20" s="570"/>
      <c r="AE20" s="570"/>
      <c r="AF20" s="570"/>
      <c r="AG20" s="571"/>
    </row>
    <row r="21" spans="1:42" ht="15.95" customHeight="1">
      <c r="A21" s="293"/>
      <c r="B21" s="375"/>
      <c r="C21" s="375"/>
      <c r="D21" s="375"/>
      <c r="E21" s="375"/>
      <c r="F21" s="375"/>
      <c r="G21" s="375"/>
      <c r="H21" s="375"/>
      <c r="I21" s="375"/>
      <c r="J21" s="375"/>
      <c r="K21" s="375"/>
      <c r="L21" s="375"/>
      <c r="M21" s="375"/>
      <c r="N21" s="359"/>
      <c r="O21" s="359"/>
      <c r="P21" s="576" t="s">
        <v>486</v>
      </c>
      <c r="Q21" s="576"/>
      <c r="R21" s="576"/>
      <c r="S21" s="576"/>
      <c r="T21" s="576"/>
      <c r="U21" s="24"/>
      <c r="V21" s="339"/>
      <c r="W21" s="339"/>
      <c r="X21" s="339"/>
      <c r="Y21" s="569"/>
      <c r="Z21" s="570"/>
      <c r="AA21" s="570"/>
      <c r="AB21" s="570"/>
      <c r="AC21" s="570"/>
      <c r="AD21" s="570"/>
      <c r="AE21" s="570"/>
      <c r="AF21" s="570"/>
      <c r="AG21" s="571"/>
      <c r="AH21" s="339"/>
      <c r="AI21" s="339"/>
      <c r="AJ21" s="339"/>
      <c r="AK21" s="339"/>
      <c r="AL21" s="339"/>
      <c r="AM21" s="339"/>
      <c r="AN21" s="339"/>
      <c r="AO21" s="339"/>
      <c r="AP21" s="339"/>
    </row>
    <row r="22" spans="1:42" ht="15.95" customHeight="1">
      <c r="A22" s="293"/>
      <c r="B22" s="375" t="s">
        <v>362</v>
      </c>
      <c r="C22" s="375"/>
      <c r="D22" s="375"/>
      <c r="E22" s="375"/>
      <c r="F22" s="375"/>
      <c r="G22" s="375"/>
      <c r="H22" s="375"/>
      <c r="I22" s="375"/>
      <c r="J22" s="375"/>
      <c r="K22" s="375"/>
      <c r="L22" s="375"/>
      <c r="M22" s="375"/>
      <c r="N22" s="375"/>
      <c r="O22" s="375"/>
      <c r="P22" s="375"/>
      <c r="Q22" s="375"/>
      <c r="R22" s="375"/>
      <c r="S22" s="375"/>
      <c r="T22" s="375"/>
      <c r="U22" s="24"/>
      <c r="V22" s="339"/>
      <c r="W22" s="339"/>
      <c r="X22" s="339"/>
      <c r="Y22" s="569"/>
      <c r="Z22" s="570"/>
      <c r="AA22" s="570"/>
      <c r="AB22" s="570"/>
      <c r="AC22" s="570"/>
      <c r="AD22" s="570"/>
      <c r="AE22" s="570"/>
      <c r="AF22" s="570"/>
      <c r="AG22" s="571"/>
      <c r="AH22" s="339"/>
      <c r="AI22" s="339"/>
      <c r="AJ22" s="339"/>
      <c r="AK22" s="339"/>
      <c r="AL22" s="339"/>
      <c r="AM22" s="339"/>
      <c r="AN22" s="339"/>
      <c r="AO22" s="339"/>
      <c r="AP22" s="339"/>
    </row>
    <row r="23" spans="1:42" ht="15.95" customHeight="1" thickBot="1">
      <c r="A23" s="292"/>
      <c r="B23" s="376"/>
      <c r="C23" s="376"/>
      <c r="D23" s="376"/>
      <c r="E23" s="376"/>
      <c r="F23" s="376"/>
      <c r="G23" s="376"/>
      <c r="H23" s="376"/>
      <c r="I23" s="376"/>
      <c r="J23" s="376"/>
      <c r="K23" s="376"/>
      <c r="L23" s="376"/>
      <c r="M23" s="376"/>
      <c r="N23" s="376"/>
      <c r="O23" s="376"/>
      <c r="P23" s="376"/>
      <c r="Q23" s="376"/>
      <c r="R23" s="376"/>
      <c r="S23" s="376"/>
      <c r="T23" s="376"/>
      <c r="U23" s="270"/>
      <c r="V23" s="339"/>
      <c r="W23" s="339"/>
      <c r="X23" s="339"/>
      <c r="Y23" s="572"/>
      <c r="Z23" s="573"/>
      <c r="AA23" s="573"/>
      <c r="AB23" s="573"/>
      <c r="AC23" s="573"/>
      <c r="AD23" s="573"/>
      <c r="AE23" s="573"/>
      <c r="AF23" s="573"/>
      <c r="AG23" s="574"/>
      <c r="AH23" s="339"/>
      <c r="AI23" s="339"/>
      <c r="AJ23" s="339"/>
      <c r="AK23" s="339"/>
      <c r="AL23" s="339"/>
      <c r="AM23" s="339"/>
      <c r="AN23" s="339"/>
      <c r="AO23" s="339"/>
      <c r="AP23" s="339"/>
    </row>
    <row r="24" spans="1:42" ht="15.95" customHeight="1">
      <c r="A24" s="292"/>
      <c r="B24" s="376"/>
      <c r="C24" s="376"/>
      <c r="D24" s="376"/>
      <c r="E24" s="376"/>
      <c r="F24" s="376"/>
      <c r="G24" s="376"/>
      <c r="H24" s="376"/>
      <c r="I24" s="376"/>
      <c r="J24" s="376"/>
      <c r="K24" s="376"/>
      <c r="L24" s="376"/>
      <c r="M24" s="376"/>
      <c r="N24" s="376"/>
      <c r="O24" s="376"/>
      <c r="P24" s="376"/>
      <c r="Q24" s="376"/>
      <c r="R24" s="376"/>
      <c r="S24" s="376"/>
      <c r="T24" s="376"/>
      <c r="U24" s="270"/>
      <c r="V24" s="339"/>
      <c r="W24" s="339"/>
      <c r="X24" s="339"/>
      <c r="Y24" s="339"/>
      <c r="Z24" s="339"/>
      <c r="AA24" s="339"/>
      <c r="AB24" s="339"/>
      <c r="AC24" s="339"/>
      <c r="AD24" s="339"/>
      <c r="AE24" s="339"/>
      <c r="AF24" s="339"/>
      <c r="AG24" s="339"/>
      <c r="AH24" s="339"/>
      <c r="AI24" s="339"/>
      <c r="AJ24" s="339"/>
      <c r="AK24" s="339"/>
      <c r="AL24" s="339"/>
      <c r="AM24" s="339"/>
      <c r="AN24" s="339"/>
      <c r="AO24" s="339"/>
      <c r="AP24" s="339"/>
    </row>
    <row r="25" spans="1:42" ht="15.95" customHeight="1">
      <c r="A25" s="644" t="s">
        <v>533</v>
      </c>
      <c r="B25" s="645"/>
      <c r="C25" s="645"/>
      <c r="D25" s="645"/>
      <c r="E25" s="645"/>
      <c r="F25" s="645"/>
      <c r="G25" s="645"/>
      <c r="H25" s="645"/>
      <c r="I25" s="645"/>
      <c r="J25" s="645"/>
      <c r="K25" s="645"/>
      <c r="L25" s="645"/>
      <c r="M25" s="645"/>
      <c r="N25" s="645"/>
      <c r="O25" s="645"/>
      <c r="P25" s="645"/>
      <c r="Q25" s="645"/>
      <c r="R25" s="645"/>
      <c r="S25" s="645"/>
      <c r="T25" s="645"/>
      <c r="U25" s="646"/>
      <c r="V25" s="339"/>
      <c r="W25" s="339"/>
      <c r="X25" s="339"/>
      <c r="Y25" s="339"/>
      <c r="Z25" s="339"/>
      <c r="AA25" s="339"/>
      <c r="AB25" s="339"/>
      <c r="AC25" s="339"/>
      <c r="AD25" s="339"/>
      <c r="AE25" s="339"/>
      <c r="AF25" s="339"/>
      <c r="AG25" s="339"/>
      <c r="AH25" s="339"/>
      <c r="AI25" s="339"/>
      <c r="AJ25" s="339"/>
      <c r="AK25" s="339"/>
      <c r="AL25" s="339"/>
      <c r="AM25" s="339"/>
      <c r="AN25" s="339"/>
      <c r="AO25" s="339"/>
      <c r="AP25" s="339"/>
    </row>
    <row r="26" spans="1:42" ht="15.95" customHeight="1">
      <c r="A26" s="300"/>
      <c r="B26" s="648" t="s">
        <v>534</v>
      </c>
      <c r="C26" s="648"/>
      <c r="D26" s="648"/>
      <c r="E26" s="648"/>
      <c r="F26" s="648"/>
      <c r="G26" s="377"/>
      <c r="H26" s="377"/>
      <c r="I26" s="642" t="s">
        <v>536</v>
      </c>
      <c r="J26" s="642"/>
      <c r="K26" s="642"/>
      <c r="L26" s="642"/>
      <c r="M26" s="642"/>
      <c r="N26" s="642"/>
      <c r="O26" s="642"/>
      <c r="P26" s="642"/>
      <c r="Q26" s="642"/>
      <c r="R26" s="642"/>
      <c r="S26" s="642"/>
      <c r="T26" s="642"/>
      <c r="U26" s="270"/>
      <c r="V26" s="339"/>
      <c r="W26" s="339"/>
      <c r="X26" s="339"/>
      <c r="Y26" s="339"/>
      <c r="Z26" s="339"/>
      <c r="AA26" s="339"/>
      <c r="AB26" s="339"/>
      <c r="AC26" s="339"/>
      <c r="AD26" s="339"/>
      <c r="AE26" s="339"/>
      <c r="AF26" s="339"/>
      <c r="AG26" s="339"/>
      <c r="AH26" s="339"/>
      <c r="AI26" s="339"/>
      <c r="AJ26" s="339"/>
      <c r="AK26" s="339"/>
      <c r="AL26" s="339"/>
      <c r="AM26" s="339"/>
      <c r="AN26" s="339"/>
      <c r="AO26" s="339"/>
      <c r="AP26" s="339"/>
    </row>
    <row r="27" spans="1:42" ht="15.95" customHeight="1">
      <c r="A27" s="292"/>
      <c r="B27" s="648" t="s">
        <v>535</v>
      </c>
      <c r="C27" s="648"/>
      <c r="D27" s="648"/>
      <c r="E27" s="648"/>
      <c r="F27" s="648"/>
      <c r="G27" s="377"/>
      <c r="H27" s="377"/>
      <c r="I27" s="458" t="s">
        <v>404</v>
      </c>
      <c r="J27" s="458"/>
      <c r="K27" s="458"/>
      <c r="L27" s="458"/>
      <c r="M27" s="458"/>
      <c r="N27" s="458"/>
      <c r="O27" s="458"/>
      <c r="P27" s="458"/>
      <c r="Q27" s="458"/>
      <c r="R27" s="458"/>
      <c r="S27" s="458"/>
      <c r="T27" s="458"/>
      <c r="U27" s="270"/>
      <c r="V27" s="339"/>
      <c r="W27" s="339"/>
      <c r="X27" s="339"/>
      <c r="Y27" s="339"/>
      <c r="Z27" s="339"/>
      <c r="AA27" s="339"/>
      <c r="AB27" s="339"/>
      <c r="AC27" s="339"/>
      <c r="AD27" s="339"/>
      <c r="AE27" s="339"/>
      <c r="AF27" s="339"/>
      <c r="AG27" s="339"/>
      <c r="AH27" s="339"/>
      <c r="AI27" s="339"/>
      <c r="AJ27" s="339"/>
      <c r="AK27" s="339"/>
      <c r="AL27" s="339"/>
      <c r="AM27" s="339"/>
      <c r="AN27" s="339"/>
      <c r="AO27" s="339"/>
      <c r="AP27" s="339"/>
    </row>
    <row r="28" spans="1:42" ht="15.95" customHeight="1">
      <c r="A28" s="292"/>
      <c r="B28" s="648" t="s">
        <v>537</v>
      </c>
      <c r="C28" s="648"/>
      <c r="D28" s="648"/>
      <c r="E28" s="648"/>
      <c r="F28" s="648"/>
      <c r="G28" s="377"/>
      <c r="H28" s="377"/>
      <c r="I28" s="458" t="s">
        <v>432</v>
      </c>
      <c r="J28" s="458"/>
      <c r="K28" s="458"/>
      <c r="L28" s="458"/>
      <c r="M28" s="458"/>
      <c r="N28" s="458"/>
      <c r="O28" s="458"/>
      <c r="P28" s="458"/>
      <c r="Q28" s="458"/>
      <c r="R28" s="458"/>
      <c r="S28" s="458"/>
      <c r="T28" s="458"/>
      <c r="U28" s="270"/>
      <c r="V28" s="339"/>
      <c r="W28" s="339"/>
      <c r="X28" s="339"/>
      <c r="Y28" s="339"/>
      <c r="Z28" s="339"/>
      <c r="AA28" s="339"/>
      <c r="AB28" s="339"/>
      <c r="AC28" s="339"/>
      <c r="AD28" s="339"/>
      <c r="AE28" s="339"/>
      <c r="AF28" s="339"/>
      <c r="AG28" s="339"/>
      <c r="AH28" s="339"/>
      <c r="AI28" s="339"/>
      <c r="AJ28" s="339"/>
      <c r="AK28" s="339"/>
      <c r="AL28" s="339"/>
      <c r="AM28" s="339"/>
      <c r="AN28" s="339"/>
      <c r="AO28" s="339"/>
      <c r="AP28" s="339"/>
    </row>
    <row r="29" spans="1:42" ht="15.95" customHeight="1">
      <c r="A29" s="292"/>
      <c r="B29" s="648" t="s">
        <v>538</v>
      </c>
      <c r="C29" s="648"/>
      <c r="D29" s="648"/>
      <c r="E29" s="648"/>
      <c r="F29" s="648"/>
      <c r="G29" s="377"/>
      <c r="H29" s="377"/>
      <c r="I29" s="458" t="s">
        <v>397</v>
      </c>
      <c r="J29" s="458"/>
      <c r="K29" s="458"/>
      <c r="L29" s="458"/>
      <c r="M29" s="458"/>
      <c r="N29" s="458"/>
      <c r="O29" s="458"/>
      <c r="P29" s="458"/>
      <c r="Q29" s="458"/>
      <c r="R29" s="458"/>
      <c r="S29" s="458"/>
      <c r="T29" s="458"/>
      <c r="U29" s="270"/>
      <c r="V29" s="339"/>
      <c r="W29" s="339"/>
      <c r="X29" s="339"/>
      <c r="Y29" s="339"/>
      <c r="Z29" s="339"/>
      <c r="AA29" s="339"/>
      <c r="AB29" s="339"/>
      <c r="AC29" s="339"/>
      <c r="AD29" s="339"/>
      <c r="AE29" s="339"/>
      <c r="AF29" s="339"/>
      <c r="AG29" s="339"/>
      <c r="AH29" s="339"/>
      <c r="AI29" s="339"/>
      <c r="AJ29" s="339"/>
      <c r="AK29" s="339"/>
      <c r="AL29" s="339"/>
      <c r="AM29" s="339"/>
      <c r="AN29" s="339"/>
      <c r="AO29" s="339"/>
      <c r="AP29" s="339"/>
    </row>
    <row r="30" spans="1:42" ht="15.95" customHeight="1">
      <c r="A30" s="292"/>
      <c r="B30" s="648"/>
      <c r="C30" s="648"/>
      <c r="D30" s="648"/>
      <c r="E30" s="648"/>
      <c r="F30" s="648"/>
      <c r="G30" s="378"/>
      <c r="H30" s="378"/>
      <c r="I30" s="642"/>
      <c r="J30" s="642"/>
      <c r="K30" s="642"/>
      <c r="L30" s="642"/>
      <c r="M30" s="642"/>
      <c r="N30" s="642"/>
      <c r="O30" s="642"/>
      <c r="P30" s="642"/>
      <c r="Q30" s="642"/>
      <c r="R30" s="642"/>
      <c r="S30" s="642"/>
      <c r="T30" s="642"/>
      <c r="U30" s="270"/>
      <c r="V30" s="339"/>
      <c r="W30" s="339"/>
      <c r="X30" s="339"/>
      <c r="Y30" s="339"/>
      <c r="Z30" s="339"/>
      <c r="AA30" s="339"/>
      <c r="AB30" s="339"/>
      <c r="AC30" s="339"/>
      <c r="AD30" s="339"/>
      <c r="AE30" s="339"/>
      <c r="AF30" s="339"/>
      <c r="AG30" s="339"/>
      <c r="AH30" s="339"/>
      <c r="AI30" s="339"/>
      <c r="AJ30" s="339"/>
      <c r="AK30" s="339"/>
      <c r="AL30" s="339"/>
      <c r="AM30" s="339"/>
      <c r="AN30" s="339"/>
      <c r="AO30" s="339"/>
      <c r="AP30" s="339"/>
    </row>
    <row r="31" spans="1:42" ht="15.95" customHeight="1">
      <c r="A31" s="292"/>
      <c r="B31" s="648"/>
      <c r="C31" s="648"/>
      <c r="D31" s="648"/>
      <c r="E31" s="648"/>
      <c r="F31" s="648"/>
      <c r="G31" s="377"/>
      <c r="H31" s="377"/>
      <c r="I31" s="642"/>
      <c r="J31" s="642"/>
      <c r="K31" s="642"/>
      <c r="L31" s="642"/>
      <c r="M31" s="642"/>
      <c r="N31" s="642"/>
      <c r="O31" s="642"/>
      <c r="P31" s="642"/>
      <c r="Q31" s="642"/>
      <c r="R31" s="642"/>
      <c r="S31" s="642"/>
      <c r="T31" s="642"/>
      <c r="U31" s="270"/>
      <c r="V31" s="339"/>
      <c r="W31" s="339"/>
      <c r="X31" s="339"/>
      <c r="Y31" s="339"/>
      <c r="Z31" s="339"/>
      <c r="AA31" s="339"/>
      <c r="AB31" s="339"/>
      <c r="AC31" s="339"/>
      <c r="AD31" s="339"/>
      <c r="AE31" s="339"/>
      <c r="AF31" s="339"/>
      <c r="AG31" s="339"/>
      <c r="AH31" s="339"/>
      <c r="AI31" s="339"/>
      <c r="AJ31" s="339"/>
      <c r="AK31" s="339"/>
      <c r="AL31" s="339"/>
      <c r="AM31" s="339"/>
      <c r="AN31" s="339"/>
      <c r="AO31" s="339"/>
      <c r="AP31" s="339"/>
    </row>
    <row r="32" spans="1:42" ht="15.95" customHeight="1">
      <c r="A32" s="292"/>
      <c r="B32" s="648"/>
      <c r="C32" s="648"/>
      <c r="D32" s="648"/>
      <c r="E32" s="648"/>
      <c r="F32" s="648"/>
      <c r="G32" s="377"/>
      <c r="H32" s="377"/>
      <c r="I32" s="642"/>
      <c r="J32" s="642"/>
      <c r="K32" s="642"/>
      <c r="L32" s="642"/>
      <c r="M32" s="642"/>
      <c r="N32" s="642"/>
      <c r="O32" s="642"/>
      <c r="P32" s="642"/>
      <c r="Q32" s="642"/>
      <c r="R32" s="642"/>
      <c r="S32" s="642"/>
      <c r="T32" s="642"/>
      <c r="U32" s="270"/>
      <c r="V32" s="339"/>
      <c r="W32" s="339"/>
      <c r="X32" s="339"/>
      <c r="Y32" s="339"/>
      <c r="Z32" s="339"/>
      <c r="AA32" s="339"/>
      <c r="AB32" s="339"/>
      <c r="AC32" s="339"/>
      <c r="AD32" s="339"/>
      <c r="AE32" s="339"/>
      <c r="AF32" s="339"/>
      <c r="AG32" s="339"/>
      <c r="AH32" s="339"/>
      <c r="AI32" s="339"/>
      <c r="AJ32" s="339"/>
      <c r="AK32" s="339"/>
      <c r="AL32" s="339"/>
      <c r="AM32" s="339"/>
      <c r="AN32" s="339"/>
      <c r="AO32" s="339"/>
      <c r="AP32" s="339"/>
    </row>
    <row r="33" spans="1:42" ht="15.95" customHeight="1">
      <c r="A33" s="292"/>
      <c r="B33" s="643"/>
      <c r="C33" s="643"/>
      <c r="D33" s="643"/>
      <c r="E33" s="643"/>
      <c r="F33" s="643"/>
      <c r="G33" s="377"/>
      <c r="H33" s="377"/>
      <c r="I33" s="642"/>
      <c r="J33" s="642"/>
      <c r="K33" s="642"/>
      <c r="L33" s="642"/>
      <c r="M33" s="642"/>
      <c r="N33" s="642"/>
      <c r="O33" s="642"/>
      <c r="P33" s="642"/>
      <c r="Q33" s="642"/>
      <c r="R33" s="642"/>
      <c r="S33" s="642"/>
      <c r="T33" s="642"/>
      <c r="U33" s="270"/>
      <c r="V33" s="339"/>
      <c r="W33" s="339"/>
      <c r="X33" s="339"/>
      <c r="Y33" s="339"/>
      <c r="Z33" s="339"/>
      <c r="AA33" s="339"/>
      <c r="AB33" s="339"/>
      <c r="AC33" s="339"/>
      <c r="AD33" s="339"/>
      <c r="AE33" s="339"/>
      <c r="AF33" s="339"/>
      <c r="AG33" s="339"/>
      <c r="AH33" s="339"/>
      <c r="AI33" s="339"/>
      <c r="AJ33" s="339"/>
      <c r="AK33" s="339"/>
      <c r="AL33" s="339"/>
      <c r="AM33" s="339"/>
      <c r="AN33" s="339"/>
      <c r="AO33" s="339"/>
      <c r="AP33" s="339"/>
    </row>
    <row r="34" spans="1:42" ht="15.95" customHeight="1">
      <c r="A34" s="292"/>
      <c r="B34" s="641"/>
      <c r="C34" s="641"/>
      <c r="D34" s="641"/>
      <c r="E34" s="641"/>
      <c r="F34" s="641"/>
      <c r="G34" s="377"/>
      <c r="H34" s="377"/>
      <c r="I34" s="642"/>
      <c r="J34" s="642"/>
      <c r="K34" s="642"/>
      <c r="L34" s="642"/>
      <c r="M34" s="642"/>
      <c r="N34" s="642"/>
      <c r="O34" s="642"/>
      <c r="P34" s="642"/>
      <c r="Q34" s="642"/>
      <c r="R34" s="642"/>
      <c r="S34" s="642"/>
      <c r="T34" s="642"/>
      <c r="U34" s="270"/>
      <c r="V34" s="339"/>
      <c r="W34" s="339"/>
      <c r="X34" s="339"/>
      <c r="Y34" s="339"/>
      <c r="Z34" s="339"/>
      <c r="AA34" s="339"/>
      <c r="AB34" s="339"/>
      <c r="AC34" s="339"/>
      <c r="AD34" s="339"/>
      <c r="AE34" s="339"/>
      <c r="AF34" s="339"/>
      <c r="AG34" s="339"/>
      <c r="AH34" s="339"/>
      <c r="AI34" s="339"/>
      <c r="AJ34" s="339"/>
      <c r="AK34" s="339"/>
      <c r="AL34" s="339"/>
      <c r="AM34" s="339"/>
      <c r="AN34" s="339"/>
      <c r="AO34" s="339"/>
      <c r="AP34" s="339"/>
    </row>
    <row r="35" spans="1:42" ht="15.95" customHeight="1">
      <c r="A35" s="292"/>
      <c r="B35" s="643"/>
      <c r="C35" s="643"/>
      <c r="D35" s="643"/>
      <c r="E35" s="643"/>
      <c r="F35" s="643"/>
      <c r="G35" s="378"/>
      <c r="H35" s="378"/>
      <c r="I35" s="642"/>
      <c r="J35" s="642"/>
      <c r="K35" s="642"/>
      <c r="L35" s="642"/>
      <c r="M35" s="642"/>
      <c r="N35" s="642"/>
      <c r="O35" s="642"/>
      <c r="P35" s="642"/>
      <c r="Q35" s="642"/>
      <c r="R35" s="642"/>
      <c r="S35" s="642"/>
      <c r="T35" s="642"/>
      <c r="U35" s="270"/>
      <c r="V35" s="339"/>
      <c r="W35" s="339"/>
      <c r="X35" s="339"/>
      <c r="Y35" s="339"/>
      <c r="Z35" s="339"/>
      <c r="AA35" s="339"/>
      <c r="AB35" s="339"/>
      <c r="AC35" s="339"/>
      <c r="AD35" s="339"/>
      <c r="AE35" s="339"/>
      <c r="AF35" s="339"/>
      <c r="AG35" s="339"/>
      <c r="AH35" s="339"/>
      <c r="AI35" s="339"/>
      <c r="AJ35" s="339"/>
      <c r="AK35" s="339"/>
      <c r="AL35" s="339"/>
      <c r="AM35" s="339"/>
      <c r="AN35" s="339"/>
      <c r="AO35" s="339"/>
      <c r="AP35" s="339"/>
    </row>
    <row r="36" spans="1:42" ht="15.95" customHeight="1">
      <c r="A36" s="292"/>
      <c r="B36" s="376"/>
      <c r="C36" s="376"/>
      <c r="D36" s="376"/>
      <c r="E36" s="376"/>
      <c r="F36" s="376"/>
      <c r="G36" s="376"/>
      <c r="H36" s="376"/>
      <c r="I36" s="376"/>
      <c r="J36" s="376"/>
      <c r="K36" s="376"/>
      <c r="L36" s="376"/>
      <c r="M36" s="376"/>
      <c r="N36" s="376"/>
      <c r="O36" s="376"/>
      <c r="P36" s="376"/>
      <c r="Q36" s="376"/>
      <c r="R36" s="376"/>
      <c r="S36" s="376"/>
      <c r="T36" s="376"/>
      <c r="U36" s="270"/>
      <c r="V36" s="339"/>
      <c r="W36" s="339"/>
      <c r="X36" s="339"/>
      <c r="Y36" s="339"/>
      <c r="Z36" s="339"/>
      <c r="AA36" s="339"/>
      <c r="AB36" s="339"/>
      <c r="AC36" s="339"/>
      <c r="AD36" s="339"/>
      <c r="AE36" s="339"/>
      <c r="AF36" s="339"/>
      <c r="AG36" s="339"/>
      <c r="AH36" s="339"/>
      <c r="AI36" s="339"/>
      <c r="AJ36" s="339"/>
      <c r="AK36" s="339"/>
      <c r="AL36" s="339"/>
      <c r="AM36" s="339"/>
      <c r="AN36" s="339"/>
      <c r="AO36" s="339"/>
      <c r="AP36" s="339"/>
    </row>
    <row r="37" spans="1:42" ht="15.95" customHeight="1">
      <c r="A37" s="292"/>
      <c r="B37" s="376"/>
      <c r="C37" s="376"/>
      <c r="D37" s="376"/>
      <c r="E37" s="376"/>
      <c r="F37" s="376"/>
      <c r="G37" s="376"/>
      <c r="H37" s="376"/>
      <c r="I37" s="376"/>
      <c r="J37" s="376"/>
      <c r="K37" s="376"/>
      <c r="L37" s="376"/>
      <c r="M37" s="376"/>
      <c r="N37" s="376"/>
      <c r="O37" s="375" t="s">
        <v>22</v>
      </c>
      <c r="P37" s="376"/>
      <c r="Q37" s="376"/>
      <c r="R37" s="376"/>
      <c r="S37" s="376"/>
      <c r="T37" s="376"/>
      <c r="U37" s="270"/>
      <c r="V37" s="339"/>
      <c r="W37" s="339"/>
      <c r="X37" s="339"/>
      <c r="Y37" s="339"/>
      <c r="Z37" s="339"/>
      <c r="AA37" s="339"/>
      <c r="AB37" s="339"/>
      <c r="AC37" s="339"/>
      <c r="AD37" s="339"/>
      <c r="AE37" s="339"/>
      <c r="AF37" s="339"/>
      <c r="AG37" s="339"/>
      <c r="AH37" s="339"/>
      <c r="AI37" s="339"/>
      <c r="AJ37" s="339"/>
      <c r="AK37" s="339"/>
      <c r="AL37" s="339"/>
      <c r="AM37" s="339"/>
      <c r="AN37" s="339"/>
      <c r="AO37" s="339"/>
      <c r="AP37" s="339"/>
    </row>
    <row r="38" spans="1:42" ht="15.95" customHeight="1">
      <c r="A38" s="292"/>
      <c r="B38" s="376"/>
      <c r="C38" s="376"/>
      <c r="D38" s="376"/>
      <c r="E38" s="376"/>
      <c r="F38" s="376"/>
      <c r="G38" s="376"/>
      <c r="H38" s="376"/>
      <c r="I38" s="376"/>
      <c r="J38" s="376"/>
      <c r="K38" s="376"/>
      <c r="L38" s="376"/>
      <c r="M38" s="376"/>
      <c r="N38" s="376"/>
      <c r="P38" s="375"/>
      <c r="Q38" s="375"/>
      <c r="R38" s="375"/>
      <c r="S38" s="375"/>
      <c r="T38" s="375"/>
      <c r="U38" s="270"/>
      <c r="V38" s="339"/>
      <c r="W38" s="339"/>
      <c r="X38" s="339"/>
      <c r="Y38" s="339"/>
      <c r="Z38" s="339"/>
      <c r="AA38" s="339"/>
      <c r="AB38" s="339"/>
      <c r="AC38" s="339"/>
      <c r="AD38" s="339"/>
      <c r="AE38" s="339"/>
      <c r="AF38" s="339"/>
      <c r="AG38" s="339"/>
      <c r="AH38" s="339"/>
      <c r="AI38" s="339"/>
      <c r="AJ38" s="339"/>
      <c r="AK38" s="339"/>
      <c r="AL38" s="339"/>
      <c r="AM38" s="339"/>
      <c r="AN38" s="339"/>
      <c r="AO38" s="339"/>
      <c r="AP38" s="339"/>
    </row>
    <row r="39" spans="1:42" s="461" customFormat="1" ht="15.95" customHeight="1">
      <c r="A39" s="292"/>
      <c r="B39" s="376"/>
      <c r="C39" s="376"/>
      <c r="D39" s="376"/>
      <c r="E39" s="376"/>
      <c r="F39" s="376"/>
      <c r="G39" s="376"/>
      <c r="H39" s="376"/>
      <c r="I39" s="376"/>
      <c r="J39" s="376"/>
      <c r="K39" s="376"/>
      <c r="L39" s="376"/>
      <c r="M39" s="376"/>
      <c r="N39" s="376"/>
      <c r="P39" s="375"/>
      <c r="Q39" s="375"/>
      <c r="R39" s="375"/>
      <c r="S39" s="375"/>
      <c r="T39" s="375"/>
      <c r="U39" s="270"/>
    </row>
    <row r="40" spans="1:42" ht="15.95" customHeight="1">
      <c r="A40" s="292"/>
      <c r="B40" s="376"/>
      <c r="C40" s="376"/>
      <c r="D40" s="376"/>
      <c r="E40" s="376"/>
      <c r="F40" s="376"/>
      <c r="G40" s="376"/>
      <c r="H40" s="376"/>
      <c r="I40" s="376"/>
      <c r="J40" s="376"/>
      <c r="K40" s="376"/>
      <c r="L40" s="376"/>
      <c r="M40" s="376"/>
      <c r="N40" s="376"/>
      <c r="O40" s="375"/>
      <c r="P40" s="375"/>
      <c r="Q40" s="375"/>
      <c r="R40" s="375"/>
      <c r="S40" s="375"/>
      <c r="T40" s="375"/>
      <c r="U40" s="270"/>
      <c r="V40" s="339"/>
      <c r="W40" s="339"/>
      <c r="X40" s="339"/>
      <c r="Y40" s="339"/>
      <c r="Z40" s="339"/>
      <c r="AA40" s="339"/>
      <c r="AB40" s="339"/>
      <c r="AC40" s="339"/>
      <c r="AD40" s="339"/>
      <c r="AE40" s="339"/>
      <c r="AF40" s="339"/>
      <c r="AG40" s="339"/>
      <c r="AH40" s="339"/>
      <c r="AI40" s="339"/>
      <c r="AJ40" s="339"/>
      <c r="AK40" s="339"/>
      <c r="AL40" s="339"/>
      <c r="AM40" s="339"/>
      <c r="AN40" s="339"/>
      <c r="AO40" s="339"/>
      <c r="AP40" s="339"/>
    </row>
    <row r="41" spans="1:42" ht="15.95" customHeight="1">
      <c r="A41" s="292"/>
      <c r="B41" s="376"/>
      <c r="C41" s="376"/>
      <c r="D41" s="376"/>
      <c r="E41" s="376"/>
      <c r="F41" s="376"/>
      <c r="G41" s="376"/>
      <c r="H41" s="376"/>
      <c r="I41" s="376"/>
      <c r="J41" s="376"/>
      <c r="K41" s="376"/>
      <c r="L41" s="376"/>
      <c r="M41" s="376"/>
      <c r="N41" s="376"/>
      <c r="O41" s="604">
        <f>NOR!O33</f>
        <v>0</v>
      </c>
      <c r="P41" s="604"/>
      <c r="Q41" s="604"/>
      <c r="R41" s="604"/>
      <c r="S41" s="604"/>
      <c r="T41" s="604"/>
      <c r="U41" s="270"/>
      <c r="V41" s="339"/>
      <c r="W41" s="339"/>
      <c r="X41" s="339"/>
      <c r="Y41" s="339"/>
      <c r="Z41" s="339"/>
      <c r="AA41" s="339"/>
      <c r="AB41" s="339"/>
      <c r="AC41" s="339"/>
      <c r="AD41" s="339"/>
      <c r="AE41" s="339"/>
      <c r="AF41" s="339"/>
      <c r="AG41" s="339"/>
      <c r="AH41" s="339"/>
      <c r="AI41" s="339"/>
      <c r="AJ41" s="339"/>
      <c r="AK41" s="339"/>
      <c r="AL41" s="339"/>
      <c r="AM41" s="339"/>
      <c r="AN41" s="339"/>
      <c r="AO41" s="339"/>
      <c r="AP41" s="339"/>
    </row>
    <row r="42" spans="1:42" ht="15.95" customHeight="1">
      <c r="A42" s="292"/>
      <c r="B42" s="376"/>
      <c r="C42" s="376"/>
      <c r="D42" s="376"/>
      <c r="E42" s="376"/>
      <c r="F42" s="376"/>
      <c r="G42" s="376"/>
      <c r="H42" s="376"/>
      <c r="I42" s="376"/>
      <c r="J42" s="376"/>
      <c r="K42" s="376"/>
      <c r="L42" s="376"/>
      <c r="M42" s="376"/>
      <c r="N42" s="376"/>
      <c r="O42" s="602" t="s">
        <v>23</v>
      </c>
      <c r="P42" s="603"/>
      <c r="Q42" s="603"/>
      <c r="R42" s="603"/>
      <c r="S42" s="603"/>
      <c r="T42" s="603"/>
      <c r="U42" s="270"/>
      <c r="V42" s="339"/>
      <c r="W42" s="339"/>
      <c r="X42" s="339"/>
      <c r="Y42" s="339"/>
      <c r="Z42" s="339"/>
      <c r="AA42" s="339"/>
      <c r="AB42" s="339"/>
      <c r="AC42" s="339"/>
      <c r="AD42" s="339"/>
      <c r="AE42" s="339"/>
      <c r="AF42" s="339"/>
      <c r="AG42" s="339"/>
      <c r="AH42" s="339"/>
      <c r="AI42" s="339"/>
      <c r="AJ42" s="339"/>
      <c r="AK42" s="339"/>
      <c r="AL42" s="339"/>
      <c r="AM42" s="339"/>
      <c r="AN42" s="339"/>
      <c r="AO42" s="339"/>
      <c r="AP42" s="339"/>
    </row>
    <row r="43" spans="1:42" ht="15.95" customHeight="1">
      <c r="A43" s="292"/>
      <c r="B43" s="376"/>
      <c r="C43" s="376"/>
      <c r="D43" s="376"/>
      <c r="E43" s="376"/>
      <c r="F43" s="376"/>
      <c r="G43" s="376"/>
      <c r="H43" s="376"/>
      <c r="I43" s="376"/>
      <c r="J43" s="376"/>
      <c r="K43" s="376"/>
      <c r="L43" s="376"/>
      <c r="M43" s="376"/>
      <c r="N43" s="376"/>
      <c r="O43" s="376"/>
      <c r="P43" s="376"/>
      <c r="Q43" s="376"/>
      <c r="R43" s="376"/>
      <c r="S43" s="376"/>
      <c r="T43" s="376"/>
      <c r="U43" s="270"/>
      <c r="V43" s="339"/>
      <c r="W43" s="339"/>
      <c r="X43" s="339"/>
      <c r="Y43" s="339"/>
      <c r="Z43" s="339"/>
      <c r="AA43" s="339"/>
      <c r="AB43" s="339"/>
      <c r="AC43" s="339"/>
      <c r="AD43" s="339"/>
      <c r="AE43" s="339"/>
      <c r="AF43" s="339"/>
      <c r="AG43" s="339"/>
      <c r="AH43" s="339"/>
      <c r="AI43" s="339"/>
      <c r="AJ43" s="339"/>
      <c r="AK43" s="339"/>
      <c r="AL43" s="339"/>
      <c r="AM43" s="339"/>
      <c r="AN43" s="339"/>
      <c r="AO43" s="339"/>
      <c r="AP43" s="339"/>
    </row>
    <row r="44" spans="1:42" ht="15.95" customHeight="1">
      <c r="A44" s="292"/>
      <c r="B44" s="376"/>
      <c r="C44" s="376"/>
      <c r="D44" s="376"/>
      <c r="E44" s="376"/>
      <c r="F44" s="376"/>
      <c r="G44" s="376"/>
      <c r="H44" s="376"/>
      <c r="I44" s="376"/>
      <c r="J44" s="376"/>
      <c r="K44" s="376"/>
      <c r="L44" s="376"/>
      <c r="M44" s="376"/>
      <c r="N44" s="376"/>
      <c r="O44" s="376"/>
      <c r="P44" s="376"/>
      <c r="Q44" s="376"/>
      <c r="R44" s="376"/>
      <c r="S44" s="376"/>
      <c r="T44" s="376"/>
      <c r="U44" s="270"/>
      <c r="V44" s="339"/>
      <c r="W44" s="339"/>
      <c r="X44" s="339"/>
      <c r="Y44" s="339"/>
      <c r="Z44" s="339"/>
      <c r="AA44" s="339"/>
      <c r="AB44" s="339"/>
      <c r="AC44" s="339"/>
      <c r="AD44" s="339"/>
      <c r="AE44" s="339"/>
      <c r="AF44" s="339"/>
      <c r="AG44" s="339"/>
      <c r="AH44" s="339"/>
      <c r="AI44" s="339"/>
      <c r="AJ44" s="339"/>
      <c r="AK44" s="339"/>
      <c r="AL44" s="339"/>
      <c r="AM44" s="339"/>
      <c r="AN44" s="339"/>
      <c r="AO44" s="339"/>
      <c r="AP44" s="339"/>
    </row>
    <row r="45" spans="1:42" ht="15.95" customHeight="1">
      <c r="A45" s="292"/>
      <c r="B45" s="376"/>
      <c r="C45" s="376"/>
      <c r="D45" s="376"/>
      <c r="E45" s="376"/>
      <c r="F45" s="379" t="s">
        <v>24</v>
      </c>
      <c r="G45" s="640"/>
      <c r="H45" s="640"/>
      <c r="I45" s="640"/>
      <c r="J45" s="640"/>
      <c r="K45" s="640"/>
      <c r="L45" s="640"/>
      <c r="M45" s="640"/>
      <c r="N45" s="640"/>
      <c r="O45" s="359"/>
      <c r="P45" s="376"/>
      <c r="Q45" s="376"/>
      <c r="R45" s="376"/>
      <c r="S45" s="376"/>
      <c r="T45" s="376"/>
      <c r="U45" s="270"/>
      <c r="V45" s="339"/>
      <c r="W45" s="339"/>
      <c r="X45" s="339"/>
      <c r="Y45" s="339"/>
      <c r="Z45" s="339"/>
      <c r="AA45" s="339"/>
      <c r="AB45" s="339"/>
      <c r="AC45" s="339"/>
      <c r="AD45" s="339"/>
      <c r="AE45" s="339"/>
      <c r="AF45" s="339"/>
      <c r="AG45" s="339"/>
      <c r="AH45" s="339"/>
      <c r="AI45" s="339"/>
      <c r="AJ45" s="339"/>
      <c r="AK45" s="339"/>
      <c r="AL45" s="339"/>
      <c r="AM45" s="339"/>
      <c r="AN45" s="339"/>
      <c r="AO45" s="339"/>
      <c r="AP45" s="339"/>
    </row>
    <row r="46" spans="1:42" ht="15.95" customHeight="1">
      <c r="A46" s="292"/>
      <c r="B46" s="376"/>
      <c r="C46" s="376"/>
      <c r="D46" s="376"/>
      <c r="E46" s="376"/>
      <c r="F46" s="379" t="s">
        <v>25</v>
      </c>
      <c r="G46" s="640"/>
      <c r="H46" s="640"/>
      <c r="I46" s="640"/>
      <c r="J46" s="640"/>
      <c r="K46" s="640"/>
      <c r="L46" s="640"/>
      <c r="M46" s="640"/>
      <c r="N46" s="640"/>
      <c r="O46" s="359"/>
      <c r="P46" s="376"/>
      <c r="Q46" s="376"/>
      <c r="R46" s="376"/>
      <c r="S46" s="376"/>
      <c r="T46" s="376"/>
      <c r="U46" s="270"/>
      <c r="V46" s="339"/>
      <c r="W46" s="339"/>
      <c r="X46" s="339"/>
      <c r="Y46" s="339"/>
      <c r="Z46" s="339"/>
      <c r="AA46" s="339"/>
      <c r="AB46" s="339"/>
      <c r="AC46" s="339"/>
      <c r="AD46" s="339"/>
      <c r="AE46" s="339"/>
      <c r="AF46" s="339"/>
      <c r="AG46" s="339"/>
      <c r="AH46" s="339"/>
      <c r="AI46" s="339"/>
      <c r="AJ46" s="339"/>
      <c r="AK46" s="339"/>
      <c r="AL46" s="339"/>
      <c r="AM46" s="339"/>
      <c r="AN46" s="339"/>
      <c r="AO46" s="339"/>
      <c r="AP46" s="339"/>
    </row>
    <row r="47" spans="1:42" ht="15.95" customHeight="1">
      <c r="A47" s="292"/>
      <c r="B47" s="376"/>
      <c r="C47" s="376"/>
      <c r="D47" s="376"/>
      <c r="E47" s="376"/>
      <c r="F47" s="379" t="s">
        <v>26</v>
      </c>
      <c r="G47" s="640"/>
      <c r="H47" s="640"/>
      <c r="I47" s="640"/>
      <c r="J47" s="640"/>
      <c r="K47" s="640"/>
      <c r="L47" s="640"/>
      <c r="M47" s="640"/>
      <c r="N47" s="640"/>
      <c r="O47" s="359"/>
      <c r="P47" s="376"/>
      <c r="Q47" s="376"/>
      <c r="R47" s="376"/>
      <c r="S47" s="376"/>
      <c r="T47" s="376"/>
      <c r="U47" s="270"/>
      <c r="V47" s="339"/>
      <c r="W47" s="339"/>
      <c r="X47" s="339"/>
      <c r="Y47" s="339"/>
      <c r="Z47" s="339"/>
      <c r="AA47" s="339"/>
      <c r="AB47" s="339"/>
      <c r="AC47" s="339"/>
      <c r="AD47" s="339"/>
      <c r="AE47" s="339"/>
      <c r="AF47" s="339"/>
      <c r="AG47" s="339"/>
      <c r="AH47" s="339"/>
      <c r="AI47" s="339"/>
      <c r="AJ47" s="339"/>
      <c r="AK47" s="339"/>
      <c r="AL47" s="339"/>
      <c r="AM47" s="339"/>
      <c r="AN47" s="339"/>
      <c r="AO47" s="339"/>
      <c r="AP47" s="339"/>
    </row>
    <row r="48" spans="1:42" ht="15.95" customHeight="1">
      <c r="A48" s="292"/>
      <c r="B48" s="376"/>
      <c r="C48" s="376"/>
      <c r="D48" s="376"/>
      <c r="E48" s="376"/>
      <c r="F48" s="359"/>
      <c r="G48" s="359"/>
      <c r="H48" s="359"/>
      <c r="I48" s="359"/>
      <c r="J48" s="359"/>
      <c r="K48" s="359"/>
      <c r="L48" s="359"/>
      <c r="M48" s="359"/>
      <c r="N48" s="359"/>
      <c r="O48" s="359"/>
      <c r="P48" s="359"/>
      <c r="Q48" s="376"/>
      <c r="R48" s="376"/>
      <c r="S48" s="376"/>
      <c r="T48" s="376"/>
      <c r="U48" s="270"/>
      <c r="V48" s="339"/>
      <c r="W48" s="339"/>
      <c r="X48" s="339"/>
      <c r="Y48" s="339"/>
      <c r="Z48" s="339"/>
      <c r="AA48" s="339"/>
      <c r="AB48" s="339"/>
      <c r="AC48" s="339"/>
      <c r="AD48" s="339"/>
      <c r="AE48" s="339"/>
      <c r="AF48" s="339"/>
      <c r="AG48" s="339"/>
      <c r="AH48" s="339"/>
      <c r="AI48" s="339"/>
      <c r="AJ48" s="339"/>
      <c r="AK48" s="339"/>
      <c r="AL48" s="339"/>
      <c r="AM48" s="339"/>
      <c r="AN48" s="339"/>
      <c r="AO48" s="339"/>
      <c r="AP48" s="339"/>
    </row>
    <row r="49" spans="1:42" ht="15.95" customHeight="1">
      <c r="A49" s="292"/>
      <c r="B49" s="376"/>
      <c r="C49" s="376"/>
      <c r="D49" s="376"/>
      <c r="E49" s="376"/>
      <c r="F49" s="379" t="s">
        <v>27</v>
      </c>
      <c r="G49" s="640"/>
      <c r="H49" s="640"/>
      <c r="I49" s="640"/>
      <c r="J49" s="640"/>
      <c r="K49" s="640"/>
      <c r="L49" s="640"/>
      <c r="M49" s="640"/>
      <c r="N49" s="640"/>
      <c r="O49" s="359"/>
      <c r="P49" s="376"/>
      <c r="Q49" s="376"/>
      <c r="R49" s="376"/>
      <c r="S49" s="376"/>
      <c r="T49" s="376"/>
      <c r="U49" s="270"/>
      <c r="V49" s="339"/>
      <c r="W49" s="339"/>
      <c r="X49" s="339"/>
      <c r="Y49" s="339"/>
      <c r="Z49" s="339"/>
      <c r="AA49" s="339"/>
      <c r="AB49" s="339"/>
      <c r="AC49" s="339"/>
      <c r="AD49" s="339"/>
      <c r="AE49" s="339"/>
      <c r="AF49" s="339"/>
      <c r="AG49" s="339"/>
      <c r="AH49" s="339"/>
      <c r="AI49" s="339"/>
      <c r="AJ49" s="339"/>
      <c r="AK49" s="339"/>
      <c r="AL49" s="339"/>
      <c r="AM49" s="339"/>
      <c r="AN49" s="339"/>
      <c r="AO49" s="339"/>
      <c r="AP49" s="339"/>
    </row>
    <row r="50" spans="1:42" ht="15.95" customHeight="1" thickBot="1">
      <c r="A50" s="271"/>
      <c r="B50" s="272"/>
      <c r="C50" s="272"/>
      <c r="D50" s="272"/>
      <c r="E50" s="272"/>
      <c r="F50" s="272"/>
      <c r="G50" s="272"/>
      <c r="H50" s="272"/>
      <c r="I50" s="272"/>
      <c r="J50" s="272"/>
      <c r="K50" s="272"/>
      <c r="L50" s="272"/>
      <c r="M50" s="272"/>
      <c r="N50" s="272"/>
      <c r="O50" s="272"/>
      <c r="P50" s="272"/>
      <c r="Q50" s="272"/>
      <c r="R50" s="272"/>
      <c r="S50" s="272"/>
      <c r="T50" s="272"/>
      <c r="U50" s="273"/>
      <c r="V50" s="339"/>
      <c r="W50" s="339"/>
      <c r="X50" s="339"/>
      <c r="Y50" s="339"/>
      <c r="Z50" s="339"/>
      <c r="AA50" s="339"/>
      <c r="AB50" s="339"/>
      <c r="AC50" s="339"/>
      <c r="AD50" s="339"/>
      <c r="AE50" s="339"/>
      <c r="AF50" s="339"/>
      <c r="AG50" s="339"/>
      <c r="AH50" s="339"/>
      <c r="AI50" s="339"/>
      <c r="AJ50" s="339"/>
      <c r="AK50" s="339"/>
      <c r="AL50" s="339"/>
      <c r="AM50" s="339"/>
      <c r="AN50" s="339"/>
      <c r="AO50" s="339"/>
      <c r="AP50" s="339"/>
    </row>
  </sheetData>
  <mergeCells count="60">
    <mergeCell ref="I26:T26"/>
    <mergeCell ref="B33:F33"/>
    <mergeCell ref="I33:T33"/>
    <mergeCell ref="B27:F27"/>
    <mergeCell ref="B29:F29"/>
    <mergeCell ref="B28:F28"/>
    <mergeCell ref="B30:F30"/>
    <mergeCell ref="I30:T30"/>
    <mergeCell ref="I31:T31"/>
    <mergeCell ref="B32:F32"/>
    <mergeCell ref="I32:T32"/>
    <mergeCell ref="B31:F31"/>
    <mergeCell ref="G49:N49"/>
    <mergeCell ref="O41:T41"/>
    <mergeCell ref="O42:T42"/>
    <mergeCell ref="P1:R1"/>
    <mergeCell ref="S1:U1"/>
    <mergeCell ref="P2:R2"/>
    <mergeCell ref="S2:U2"/>
    <mergeCell ref="B4:J4"/>
    <mergeCell ref="B5:J5"/>
    <mergeCell ref="B6:J6"/>
    <mergeCell ref="B9:J9"/>
    <mergeCell ref="K15:P15"/>
    <mergeCell ref="B18:T18"/>
    <mergeCell ref="B19:T19"/>
    <mergeCell ref="B17:T17"/>
    <mergeCell ref="G47:N47"/>
    <mergeCell ref="Y1:AG2"/>
    <mergeCell ref="P7:T7"/>
    <mergeCell ref="M8:O8"/>
    <mergeCell ref="P8:Q8"/>
    <mergeCell ref="R8:T8"/>
    <mergeCell ref="M4:O4"/>
    <mergeCell ref="P4:T4"/>
    <mergeCell ref="M5:O5"/>
    <mergeCell ref="P5:T5"/>
    <mergeCell ref="M6:O6"/>
    <mergeCell ref="P6:T6"/>
    <mergeCell ref="Y3:AG23"/>
    <mergeCell ref="F1:O2"/>
    <mergeCell ref="B7:J7"/>
    <mergeCell ref="M7:O7"/>
    <mergeCell ref="B8:J8"/>
    <mergeCell ref="F13:H13"/>
    <mergeCell ref="F14:H14"/>
    <mergeCell ref="G46:N46"/>
    <mergeCell ref="G45:N45"/>
    <mergeCell ref="B15:H15"/>
    <mergeCell ref="B16:H16"/>
    <mergeCell ref="I15:J15"/>
    <mergeCell ref="K16:P16"/>
    <mergeCell ref="P20:T20"/>
    <mergeCell ref="P21:T21"/>
    <mergeCell ref="B34:F34"/>
    <mergeCell ref="I34:T34"/>
    <mergeCell ref="B35:F35"/>
    <mergeCell ref="I35:T35"/>
    <mergeCell ref="A25:U25"/>
    <mergeCell ref="B26:F26"/>
  </mergeCells>
  <phoneticPr fontId="49" type="noConversion"/>
  <conditionalFormatting sqref="B4:J4">
    <cfRule type="cellIs" dxfId="8" priority="1" operator="equal">
      <formula>0</formula>
    </cfRule>
  </conditionalFormatting>
  <printOptions horizontalCentered="1"/>
  <pageMargins left="3.9370078740157501E-2" right="3.9370078740157501E-2" top="0.38" bottom="7.8740157480315001E-2" header="0.47" footer="0.31496062992126"/>
  <pageSetup paperSize="9" scale="95"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D6155970-9036-47D3-B272-91C2415A56F8}">
          <x14:formula1>
            <xm:f>'Data Entry'!$B$11:$C$11</xm:f>
          </x14:formula1>
          <xm:sqref>AK5:AO5 P5:T5</xm:sqref>
        </x14:dataValidation>
        <x14:dataValidation type="list" allowBlank="1" showInputMessage="1" showErrorMessage="1" xr:uid="{410B3B1F-9BC7-456A-B73C-049B8704412B}">
          <x14:formula1>
            <xm:f>'Data Entry'!$B$13:$C$13</xm:f>
          </x14:formula1>
          <xm:sqref>B4:J4</xm:sqref>
        </x14:dataValidation>
        <x14:dataValidation type="list" allowBlank="1" showInputMessage="1" showErrorMessage="1" xr:uid="{ECABCFBD-199D-474C-9391-A0CF68DC5071}">
          <x14:formula1>
            <xm:f>'Data Entry'!$B$15:$C$15</xm:f>
          </x14:formula1>
          <xm:sqref>R8:T8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3A974-23E4-4678-B226-2358BDE7A333}">
  <sheetPr>
    <tabColor rgb="FF00B050"/>
  </sheetPr>
  <dimension ref="A1:AG36"/>
  <sheetViews>
    <sheetView workbookViewId="0">
      <selection activeCell="Z22" sqref="Z22"/>
    </sheetView>
  </sheetViews>
  <sheetFormatPr baseColWidth="10" defaultColWidth="9" defaultRowHeight="12.75"/>
  <cols>
    <col min="1" max="20" width="4.85546875" style="339" customWidth="1"/>
    <col min="21" max="22" width="4.28515625" style="339" customWidth="1"/>
    <col min="23" max="24" width="4.85546875" style="339" customWidth="1"/>
    <col min="25" max="25" width="19.28515625" style="339" customWidth="1"/>
    <col min="26" max="26" width="20.42578125" style="339" customWidth="1"/>
    <col min="27" max="28" width="21.140625" style="339" customWidth="1"/>
    <col min="29" max="51" width="4.85546875" style="339" customWidth="1"/>
    <col min="52" max="16384" width="9" style="339"/>
  </cols>
  <sheetData>
    <row r="1" spans="1:33" ht="21" customHeight="1">
      <c r="A1" s="358"/>
      <c r="B1" s="297"/>
      <c r="C1" s="297"/>
      <c r="D1" s="297"/>
      <c r="E1" s="297"/>
      <c r="F1" s="589" t="s">
        <v>496</v>
      </c>
      <c r="G1" s="589"/>
      <c r="H1" s="589"/>
      <c r="I1" s="589"/>
      <c r="J1" s="589"/>
      <c r="K1" s="589"/>
      <c r="L1" s="589"/>
      <c r="M1" s="589"/>
      <c r="N1" s="589"/>
      <c r="O1" s="590"/>
      <c r="P1" s="593"/>
      <c r="Q1" s="594"/>
      <c r="R1" s="596"/>
      <c r="S1" s="593" t="s">
        <v>2</v>
      </c>
      <c r="T1" s="594"/>
      <c r="U1" s="595"/>
      <c r="Y1" s="530" t="s">
        <v>450</v>
      </c>
      <c r="Z1" s="531"/>
      <c r="AA1" s="531"/>
      <c r="AB1" s="531"/>
      <c r="AC1" s="531"/>
      <c r="AD1" s="531"/>
      <c r="AE1" s="531"/>
      <c r="AF1" s="531"/>
      <c r="AG1" s="532"/>
    </row>
    <row r="2" spans="1:33" ht="21" customHeight="1" thickBot="1">
      <c r="A2" s="10"/>
      <c r="B2" s="11"/>
      <c r="C2" s="11"/>
      <c r="D2" s="11"/>
      <c r="E2" s="11"/>
      <c r="F2" s="591"/>
      <c r="G2" s="591"/>
      <c r="H2" s="591"/>
      <c r="I2" s="591"/>
      <c r="J2" s="591"/>
      <c r="K2" s="591"/>
      <c r="L2" s="591"/>
      <c r="M2" s="591"/>
      <c r="N2" s="591"/>
      <c r="O2" s="592"/>
      <c r="P2" s="585" t="s">
        <v>514</v>
      </c>
      <c r="Q2" s="586"/>
      <c r="R2" s="587"/>
      <c r="S2" s="486" t="s">
        <v>572</v>
      </c>
      <c r="T2" s="487"/>
      <c r="U2" s="488"/>
      <c r="Y2" s="533"/>
      <c r="Z2" s="534"/>
      <c r="AA2" s="534"/>
      <c r="AB2" s="534"/>
      <c r="AC2" s="534"/>
      <c r="AD2" s="534"/>
      <c r="AE2" s="534"/>
      <c r="AF2" s="534"/>
      <c r="AG2" s="535"/>
    </row>
    <row r="3" spans="1:33" ht="15.95" customHeight="1">
      <c r="A3" s="293"/>
      <c r="B3" s="359"/>
      <c r="C3" s="359"/>
      <c r="D3" s="359"/>
      <c r="E3" s="359"/>
      <c r="F3" s="359"/>
      <c r="G3" s="359"/>
      <c r="H3" s="359"/>
      <c r="I3" s="359"/>
      <c r="J3" s="360"/>
      <c r="K3" s="360"/>
      <c r="L3" s="360"/>
      <c r="M3" s="360"/>
      <c r="N3" s="360"/>
      <c r="O3" s="361"/>
      <c r="P3" s="362"/>
      <c r="Q3" s="363"/>
      <c r="R3" s="363"/>
      <c r="S3" s="363"/>
      <c r="T3" s="363"/>
      <c r="U3" s="21"/>
      <c r="Y3" s="656" t="s">
        <v>540</v>
      </c>
      <c r="Z3" s="567"/>
      <c r="AA3" s="567"/>
      <c r="AB3" s="567"/>
      <c r="AC3" s="567"/>
      <c r="AD3" s="567"/>
      <c r="AE3" s="567"/>
      <c r="AF3" s="567"/>
      <c r="AG3" s="568"/>
    </row>
    <row r="4" spans="1:33" ht="15.95" customHeight="1">
      <c r="A4" s="315" t="s">
        <v>4</v>
      </c>
      <c r="B4" s="606"/>
      <c r="C4" s="588"/>
      <c r="D4" s="588"/>
      <c r="E4" s="588"/>
      <c r="F4" s="588"/>
      <c r="G4" s="588"/>
      <c r="H4" s="588"/>
      <c r="I4" s="588"/>
      <c r="J4" s="588"/>
      <c r="K4" s="364"/>
      <c r="L4" s="364"/>
      <c r="M4" s="581" t="s">
        <v>5</v>
      </c>
      <c r="N4" s="581"/>
      <c r="O4" s="581"/>
      <c r="P4" s="605" t="str">
        <f>IF('Data Entry'!B8="","",'Data Entry'!B8)</f>
        <v/>
      </c>
      <c r="Q4" s="605"/>
      <c r="R4" s="605"/>
      <c r="S4" s="605"/>
      <c r="T4" s="605"/>
      <c r="U4" s="24"/>
      <c r="Y4" s="569"/>
      <c r="Z4" s="570"/>
      <c r="AA4" s="570"/>
      <c r="AB4" s="570"/>
      <c r="AC4" s="570"/>
      <c r="AD4" s="570"/>
      <c r="AE4" s="570"/>
      <c r="AF4" s="570"/>
      <c r="AG4" s="571"/>
    </row>
    <row r="5" spans="1:33" ht="15.95" customHeight="1">
      <c r="A5" s="294"/>
      <c r="B5" s="588" t="str">
        <f>IF('Data Entry'!B19="","",'Data Entry'!B19)</f>
        <v/>
      </c>
      <c r="C5" s="588"/>
      <c r="D5" s="588"/>
      <c r="E5" s="588"/>
      <c r="F5" s="588"/>
      <c r="G5" s="588"/>
      <c r="H5" s="588"/>
      <c r="I5" s="588"/>
      <c r="J5" s="588"/>
      <c r="K5" s="364"/>
      <c r="L5" s="364"/>
      <c r="M5" s="581" t="s">
        <v>7</v>
      </c>
      <c r="N5" s="581"/>
      <c r="O5" s="581"/>
      <c r="P5" s="597"/>
      <c r="Q5" s="597"/>
      <c r="R5" s="597"/>
      <c r="S5" s="597"/>
      <c r="T5" s="597"/>
      <c r="U5" s="24"/>
      <c r="Y5" s="569"/>
      <c r="Z5" s="570"/>
      <c r="AA5" s="570"/>
      <c r="AB5" s="570"/>
      <c r="AC5" s="570"/>
      <c r="AD5" s="570"/>
      <c r="AE5" s="570"/>
      <c r="AF5" s="570"/>
      <c r="AG5" s="571"/>
    </row>
    <row r="6" spans="1:33" ht="15.95" customHeight="1">
      <c r="A6" s="294"/>
      <c r="B6" s="588" t="str">
        <f>IF('Data Entry'!B29="","",'Data Entry'!B29)</f>
        <v/>
      </c>
      <c r="C6" s="588"/>
      <c r="D6" s="588"/>
      <c r="E6" s="588"/>
      <c r="F6" s="588"/>
      <c r="G6" s="588"/>
      <c r="H6" s="588"/>
      <c r="I6" s="588"/>
      <c r="J6" s="588"/>
      <c r="K6" s="364"/>
      <c r="L6" s="364"/>
      <c r="M6" s="581" t="s">
        <v>8</v>
      </c>
      <c r="N6" s="581"/>
      <c r="O6" s="581"/>
      <c r="P6" s="597" t="str">
        <f>IF('Data Entry'!B17="","",'Data Entry'!B17)</f>
        <v/>
      </c>
      <c r="Q6" s="597"/>
      <c r="R6" s="597"/>
      <c r="S6" s="597"/>
      <c r="T6" s="597"/>
      <c r="U6" s="24"/>
      <c r="Y6" s="569"/>
      <c r="Z6" s="570"/>
      <c r="AA6" s="570"/>
      <c r="AB6" s="570"/>
      <c r="AC6" s="570"/>
      <c r="AD6" s="570"/>
      <c r="AE6" s="570"/>
      <c r="AF6" s="570"/>
      <c r="AG6" s="571"/>
    </row>
    <row r="7" spans="1:33" ht="15.95" customHeight="1">
      <c r="A7" s="294"/>
      <c r="B7" s="588" t="str">
        <f>IF('Data Entry'!B33="","",'Data Entry'!B33)</f>
        <v/>
      </c>
      <c r="C7" s="588"/>
      <c r="D7" s="588"/>
      <c r="E7" s="588"/>
      <c r="F7" s="588"/>
      <c r="G7" s="588"/>
      <c r="H7" s="588"/>
      <c r="I7" s="588"/>
      <c r="J7" s="588"/>
      <c r="K7" s="364"/>
      <c r="L7" s="364"/>
      <c r="M7" s="581" t="s">
        <v>515</v>
      </c>
      <c r="N7" s="581"/>
      <c r="O7" s="581"/>
      <c r="P7" s="582" t="str">
        <f>IF('Data Entry'!B23="","",'Data Entry'!B23)</f>
        <v/>
      </c>
      <c r="Q7" s="582"/>
      <c r="R7" s="582"/>
      <c r="S7" s="582"/>
      <c r="T7" s="582"/>
      <c r="U7" s="24"/>
      <c r="Y7" s="569"/>
      <c r="Z7" s="570"/>
      <c r="AA7" s="570"/>
      <c r="AB7" s="570"/>
      <c r="AC7" s="570"/>
      <c r="AD7" s="570"/>
      <c r="AE7" s="570"/>
      <c r="AF7" s="570"/>
      <c r="AG7" s="571"/>
    </row>
    <row r="8" spans="1:33" ht="15.95" customHeight="1">
      <c r="A8" s="293"/>
      <c r="B8" s="588" t="str">
        <f>IF('Data Entry'!B31="","",'Data Entry'!B31)</f>
        <v/>
      </c>
      <c r="C8" s="588"/>
      <c r="D8" s="588"/>
      <c r="E8" s="588"/>
      <c r="F8" s="588"/>
      <c r="G8" s="588"/>
      <c r="H8" s="588"/>
      <c r="I8" s="588"/>
      <c r="J8" s="588"/>
      <c r="K8" s="364"/>
      <c r="L8" s="364"/>
      <c r="M8" s="581" t="s">
        <v>9</v>
      </c>
      <c r="N8" s="581"/>
      <c r="O8" s="581"/>
      <c r="P8" s="582" t="s">
        <v>391</v>
      </c>
      <c r="Q8" s="582"/>
      <c r="R8" s="583"/>
      <c r="S8" s="583"/>
      <c r="T8" s="583"/>
      <c r="U8" s="24"/>
      <c r="Y8" s="569"/>
      <c r="Z8" s="570"/>
      <c r="AA8" s="570"/>
      <c r="AB8" s="570"/>
      <c r="AC8" s="570"/>
      <c r="AD8" s="570"/>
      <c r="AE8" s="570"/>
      <c r="AF8" s="570"/>
      <c r="AG8" s="571"/>
    </row>
    <row r="9" spans="1:33" ht="15.95" customHeight="1">
      <c r="A9" s="293"/>
      <c r="B9" s="588" t="s">
        <v>566</v>
      </c>
      <c r="C9" s="588"/>
      <c r="D9" s="588"/>
      <c r="E9" s="588"/>
      <c r="F9" s="588"/>
      <c r="G9" s="588"/>
      <c r="H9" s="588"/>
      <c r="I9" s="588"/>
      <c r="J9" s="588"/>
      <c r="K9" s="364"/>
      <c r="L9" s="364"/>
      <c r="M9" s="364"/>
      <c r="N9" s="364"/>
      <c r="O9" s="364"/>
      <c r="P9" s="364"/>
      <c r="Q9" s="365"/>
      <c r="R9" s="365"/>
      <c r="S9" s="365"/>
      <c r="T9" s="365"/>
      <c r="U9" s="24"/>
      <c r="Y9" s="569"/>
      <c r="Z9" s="570"/>
      <c r="AA9" s="570"/>
      <c r="AB9" s="570"/>
      <c r="AC9" s="570"/>
      <c r="AD9" s="570"/>
      <c r="AE9" s="570"/>
      <c r="AF9" s="570"/>
      <c r="AG9" s="571"/>
    </row>
    <row r="10" spans="1:33" ht="15.95" customHeight="1">
      <c r="A10" s="293"/>
      <c r="B10" s="380"/>
      <c r="C10" s="380"/>
      <c r="D10" s="380"/>
      <c r="E10" s="380"/>
      <c r="F10" s="380"/>
      <c r="G10" s="380"/>
      <c r="H10" s="380"/>
      <c r="I10" s="380"/>
      <c r="J10" s="380"/>
      <c r="K10" s="364"/>
      <c r="L10" s="364"/>
      <c r="M10" s="364"/>
      <c r="N10" s="364"/>
      <c r="O10" s="364"/>
      <c r="P10" s="364"/>
      <c r="Q10" s="365"/>
      <c r="R10" s="365"/>
      <c r="S10" s="365"/>
      <c r="T10" s="365"/>
      <c r="U10" s="24"/>
      <c r="Y10" s="569"/>
      <c r="Z10" s="570"/>
      <c r="AA10" s="570"/>
      <c r="AB10" s="570"/>
      <c r="AC10" s="570"/>
      <c r="AD10" s="570"/>
      <c r="AE10" s="570"/>
      <c r="AF10" s="570"/>
      <c r="AG10" s="571"/>
    </row>
    <row r="11" spans="1:33" ht="15.95" customHeight="1" thickBot="1">
      <c r="A11" s="293"/>
      <c r="B11" s="366"/>
      <c r="C11" s="366"/>
      <c r="D11" s="364"/>
      <c r="E11" s="364"/>
      <c r="F11" s="364"/>
      <c r="G11" s="364"/>
      <c r="H11" s="364"/>
      <c r="I11" s="364"/>
      <c r="J11" s="364"/>
      <c r="K11" s="364"/>
      <c r="L11" s="364"/>
      <c r="M11" s="364"/>
      <c r="N11" s="364"/>
      <c r="O11" s="364"/>
      <c r="P11" s="364"/>
      <c r="Q11" s="365"/>
      <c r="R11" s="365"/>
      <c r="S11" s="365"/>
      <c r="T11" s="365"/>
      <c r="U11" s="24"/>
      <c r="Y11" s="572"/>
      <c r="Z11" s="573"/>
      <c r="AA11" s="573"/>
      <c r="AB11" s="573"/>
      <c r="AC11" s="573"/>
      <c r="AD11" s="573"/>
      <c r="AE11" s="573"/>
      <c r="AF11" s="573"/>
      <c r="AG11" s="574"/>
    </row>
    <row r="12" spans="1:33" ht="15.95" customHeight="1">
      <c r="A12" s="389"/>
      <c r="B12" s="390"/>
      <c r="C12" s="390"/>
      <c r="D12" s="390"/>
      <c r="E12" s="390"/>
      <c r="F12" s="390"/>
      <c r="G12" s="390"/>
      <c r="H12" s="390"/>
      <c r="I12" s="390"/>
      <c r="J12" s="390"/>
      <c r="K12" s="390"/>
      <c r="L12" s="390"/>
      <c r="M12" s="390"/>
      <c r="N12" s="390"/>
      <c r="O12" s="390"/>
      <c r="P12" s="390"/>
      <c r="Q12" s="390"/>
      <c r="R12" s="390"/>
      <c r="S12" s="390"/>
      <c r="T12" s="390"/>
      <c r="U12" s="24"/>
    </row>
    <row r="13" spans="1:33" ht="15.95" customHeight="1">
      <c r="A13" s="389"/>
      <c r="B13" s="391" t="s">
        <v>10</v>
      </c>
      <c r="C13" s="391"/>
      <c r="D13" s="391"/>
      <c r="E13" s="391"/>
      <c r="F13" s="391"/>
      <c r="G13" s="391"/>
      <c r="H13" s="391"/>
      <c r="I13" s="391"/>
      <c r="J13" s="391"/>
      <c r="K13" s="391"/>
      <c r="L13" s="391"/>
      <c r="M13" s="394"/>
      <c r="N13" s="394"/>
      <c r="O13" s="394"/>
      <c r="P13" s="394"/>
      <c r="Q13" s="394"/>
      <c r="R13" s="394"/>
      <c r="S13" s="394"/>
      <c r="T13" s="394"/>
      <c r="U13" s="269"/>
    </row>
    <row r="14" spans="1:33" ht="15.95" customHeight="1">
      <c r="A14" s="389"/>
      <c r="B14" s="654" t="s">
        <v>492</v>
      </c>
      <c r="C14" s="654"/>
      <c r="D14" s="654"/>
      <c r="E14" s="654"/>
      <c r="F14" s="654"/>
      <c r="G14" s="654"/>
      <c r="H14" s="654"/>
      <c r="I14" s="654"/>
      <c r="J14" s="654"/>
      <c r="K14" s="654"/>
      <c r="L14" s="654"/>
      <c r="M14" s="654"/>
      <c r="N14" s="654"/>
      <c r="O14" s="654"/>
      <c r="P14" s="654"/>
      <c r="Q14" s="654"/>
      <c r="R14" s="654"/>
      <c r="S14" s="654"/>
      <c r="T14" s="654"/>
      <c r="U14" s="24"/>
    </row>
    <row r="15" spans="1:33" ht="15.95" customHeight="1">
      <c r="A15" s="389"/>
      <c r="B15" s="391" t="s">
        <v>401</v>
      </c>
      <c r="C15" s="391"/>
      <c r="D15" s="391"/>
      <c r="E15" s="391"/>
      <c r="F15" s="391"/>
      <c r="G15" s="391"/>
      <c r="H15" s="391"/>
      <c r="I15" s="391"/>
      <c r="J15" s="391"/>
      <c r="K15" s="391"/>
      <c r="L15" s="391"/>
      <c r="M15" s="394"/>
      <c r="N15" s="394"/>
      <c r="O15" s="394"/>
      <c r="P15" s="394"/>
      <c r="Q15" s="394"/>
      <c r="R15" s="394"/>
      <c r="S15" s="394"/>
      <c r="T15" s="394"/>
      <c r="U15" s="24"/>
    </row>
    <row r="16" spans="1:33" ht="15.95" customHeight="1">
      <c r="A16" s="389"/>
      <c r="B16" s="652" t="s">
        <v>494</v>
      </c>
      <c r="C16" s="652"/>
      <c r="D16" s="652"/>
      <c r="E16" s="652"/>
      <c r="F16" s="652"/>
      <c r="G16" s="652"/>
      <c r="H16" s="652"/>
      <c r="I16" s="652"/>
      <c r="J16" s="652"/>
      <c r="K16" s="652"/>
      <c r="L16" s="652"/>
      <c r="M16" s="652"/>
      <c r="N16" s="652"/>
      <c r="O16" s="652"/>
      <c r="P16" s="652"/>
      <c r="Q16" s="652"/>
      <c r="R16" s="652"/>
      <c r="S16" s="652"/>
      <c r="T16" s="652"/>
      <c r="U16" s="296"/>
    </row>
    <row r="17" spans="1:21" ht="15.95" customHeight="1">
      <c r="A17" s="389"/>
      <c r="B17" s="649" t="s">
        <v>493</v>
      </c>
      <c r="C17" s="649"/>
      <c r="D17" s="649"/>
      <c r="E17" s="649"/>
      <c r="F17" s="649"/>
      <c r="G17" s="649"/>
      <c r="H17" s="649"/>
      <c r="I17" s="649"/>
      <c r="J17" s="649"/>
      <c r="K17" s="649"/>
      <c r="L17" s="649"/>
      <c r="M17" s="649"/>
      <c r="N17" s="649"/>
      <c r="O17" s="649"/>
      <c r="P17" s="649"/>
      <c r="Q17" s="649"/>
      <c r="R17" s="649"/>
      <c r="S17" s="649"/>
      <c r="T17" s="649"/>
      <c r="U17" s="24"/>
    </row>
    <row r="18" spans="1:21" ht="15.95" customHeight="1">
      <c r="A18" s="389"/>
      <c r="B18" s="392"/>
      <c r="C18" s="391"/>
      <c r="D18" s="391"/>
      <c r="E18" s="391"/>
      <c r="F18" s="391"/>
      <c r="G18" s="391"/>
      <c r="H18" s="391"/>
      <c r="I18" s="391"/>
      <c r="J18" s="376"/>
      <c r="K18" s="376"/>
      <c r="L18" s="376"/>
      <c r="M18" s="390"/>
      <c r="N18" s="390"/>
      <c r="O18" s="390"/>
      <c r="P18" s="390"/>
      <c r="Q18" s="390"/>
      <c r="R18" s="376"/>
      <c r="S18" s="376"/>
      <c r="T18" s="376"/>
      <c r="U18" s="270"/>
    </row>
    <row r="19" spans="1:21" ht="15.95" customHeight="1">
      <c r="A19" s="389"/>
      <c r="B19" s="654" t="s">
        <v>495</v>
      </c>
      <c r="C19" s="654"/>
      <c r="D19" s="654"/>
      <c r="E19" s="654"/>
      <c r="F19" s="654"/>
      <c r="G19" s="654"/>
      <c r="H19" s="654"/>
      <c r="I19" s="654"/>
      <c r="J19" s="654"/>
      <c r="K19" s="654"/>
      <c r="L19" s="654"/>
      <c r="M19" s="654"/>
      <c r="N19" s="654"/>
      <c r="O19" s="654"/>
      <c r="P19" s="654"/>
      <c r="Q19" s="654"/>
      <c r="R19" s="654"/>
      <c r="S19" s="654"/>
      <c r="T19" s="654"/>
      <c r="U19" s="270"/>
    </row>
    <row r="20" spans="1:21" ht="15.95" customHeight="1">
      <c r="A20" s="389"/>
      <c r="B20" s="655">
        <f>'Data Entry'!B25</f>
        <v>0</v>
      </c>
      <c r="C20" s="655"/>
      <c r="D20" s="655"/>
      <c r="E20" s="655"/>
      <c r="F20" s="655"/>
      <c r="G20" s="655"/>
      <c r="H20" s="655"/>
      <c r="I20" s="655"/>
      <c r="J20" s="655"/>
      <c r="K20" s="655"/>
      <c r="L20" s="655"/>
      <c r="M20" s="655"/>
      <c r="N20" s="655"/>
      <c r="O20" s="655"/>
      <c r="P20" s="655"/>
      <c r="Q20" s="655"/>
      <c r="R20" s="655"/>
      <c r="S20" s="655"/>
      <c r="T20" s="655"/>
      <c r="U20" s="270"/>
    </row>
    <row r="21" spans="1:21" ht="15.95" customHeight="1">
      <c r="A21" s="389"/>
      <c r="B21" s="649" t="s">
        <v>99</v>
      </c>
      <c r="C21" s="649"/>
      <c r="D21" s="649"/>
      <c r="E21" s="649"/>
      <c r="F21" s="649"/>
      <c r="G21" s="649"/>
      <c r="H21" s="649"/>
      <c r="I21" s="649"/>
      <c r="J21" s="649"/>
      <c r="K21" s="649"/>
      <c r="L21" s="649"/>
      <c r="M21" s="649"/>
      <c r="N21" s="649"/>
      <c r="O21" s="649"/>
      <c r="P21" s="649"/>
      <c r="Q21" s="649"/>
      <c r="R21" s="649"/>
      <c r="S21" s="649"/>
      <c r="T21" s="649"/>
      <c r="U21" s="24"/>
    </row>
    <row r="22" spans="1:21" ht="15.95" customHeight="1">
      <c r="A22" s="389"/>
      <c r="B22" s="390"/>
      <c r="C22" s="390"/>
      <c r="D22" s="390"/>
      <c r="E22" s="390"/>
      <c r="F22" s="390"/>
      <c r="G22" s="390"/>
      <c r="H22" s="390"/>
      <c r="I22" s="390"/>
      <c r="J22" s="390"/>
      <c r="K22" s="390"/>
      <c r="L22" s="390"/>
      <c r="M22" s="390"/>
      <c r="N22" s="390"/>
      <c r="O22" s="390"/>
      <c r="P22" s="390"/>
      <c r="Q22" s="390"/>
      <c r="R22" s="376"/>
      <c r="S22" s="376"/>
      <c r="T22" s="376"/>
      <c r="U22" s="24"/>
    </row>
    <row r="23" spans="1:21" ht="15.95" customHeight="1">
      <c r="A23" s="389"/>
      <c r="B23" s="390"/>
      <c r="C23" s="390"/>
      <c r="D23" s="390"/>
      <c r="E23" s="390"/>
      <c r="F23" s="390"/>
      <c r="G23" s="390"/>
      <c r="H23" s="390"/>
      <c r="I23" s="390"/>
      <c r="J23" s="390"/>
      <c r="K23" s="390"/>
      <c r="L23" s="390"/>
      <c r="M23" s="390"/>
      <c r="N23" s="390"/>
      <c r="O23" s="390"/>
      <c r="P23" s="390"/>
      <c r="Q23" s="390"/>
      <c r="R23" s="390"/>
      <c r="S23" s="390"/>
      <c r="T23" s="390"/>
      <c r="U23" s="24"/>
    </row>
    <row r="24" spans="1:21" ht="15.95" customHeight="1">
      <c r="A24" s="389"/>
      <c r="B24" s="390"/>
      <c r="C24" s="390"/>
      <c r="D24" s="390"/>
      <c r="E24" s="390"/>
      <c r="F24" s="390"/>
      <c r="G24" s="390"/>
      <c r="H24" s="390"/>
      <c r="I24" s="390"/>
      <c r="J24" s="390"/>
      <c r="K24" s="390"/>
      <c r="L24" s="390"/>
      <c r="M24" s="390"/>
      <c r="N24" s="390"/>
      <c r="O24" s="390"/>
      <c r="P24" s="390"/>
      <c r="Q24" s="390"/>
      <c r="R24" s="390"/>
      <c r="S24" s="390"/>
      <c r="T24" s="390"/>
      <c r="U24" s="270"/>
    </row>
    <row r="25" spans="1:21" ht="15.95" customHeight="1">
      <c r="A25" s="389"/>
      <c r="B25" s="390"/>
      <c r="C25" s="390"/>
      <c r="D25" s="390"/>
      <c r="E25" s="390"/>
      <c r="F25" s="390"/>
      <c r="G25" s="390"/>
      <c r="H25" s="390"/>
      <c r="I25" s="390"/>
      <c r="J25" s="390"/>
      <c r="K25" s="390"/>
      <c r="L25" s="390"/>
      <c r="M25" s="390"/>
      <c r="N25" s="390"/>
      <c r="O25" s="390"/>
      <c r="P25" s="390"/>
      <c r="Q25" s="390"/>
      <c r="R25" s="390"/>
      <c r="S25" s="390"/>
      <c r="T25" s="390"/>
      <c r="U25" s="270"/>
    </row>
    <row r="26" spans="1:21" ht="15.95" customHeight="1">
      <c r="A26" s="389"/>
      <c r="B26" s="390"/>
      <c r="C26" s="390"/>
      <c r="D26" s="390"/>
      <c r="E26" s="390"/>
      <c r="F26" s="390"/>
      <c r="G26" s="390"/>
      <c r="H26" s="390"/>
      <c r="I26" s="390"/>
      <c r="J26" s="390"/>
      <c r="K26" s="390"/>
      <c r="L26" s="390"/>
      <c r="M26" s="390"/>
      <c r="N26" s="390"/>
      <c r="O26" s="390"/>
      <c r="P26" s="390"/>
      <c r="Q26" s="390"/>
      <c r="R26" s="390"/>
      <c r="S26" s="390"/>
      <c r="T26" s="390"/>
      <c r="U26" s="270"/>
    </row>
    <row r="27" spans="1:21" ht="15.95" customHeight="1">
      <c r="A27" s="389"/>
      <c r="B27" s="390"/>
      <c r="C27" s="390"/>
      <c r="D27" s="390"/>
      <c r="E27" s="390"/>
      <c r="F27" s="390"/>
      <c r="G27" s="390"/>
      <c r="H27" s="390"/>
      <c r="I27" s="390"/>
      <c r="J27" s="390"/>
      <c r="K27" s="390"/>
      <c r="L27" s="390"/>
      <c r="M27" s="390"/>
      <c r="N27" s="390"/>
      <c r="O27" s="390"/>
      <c r="P27" s="390"/>
      <c r="Q27" s="390"/>
      <c r="R27" s="390"/>
      <c r="S27" s="390"/>
      <c r="T27" s="390"/>
      <c r="U27" s="270"/>
    </row>
    <row r="28" spans="1:21" ht="15.95" customHeight="1">
      <c r="A28" s="389"/>
      <c r="B28" s="390"/>
      <c r="C28" s="390"/>
      <c r="D28" s="390"/>
      <c r="E28" s="390"/>
      <c r="F28" s="390"/>
      <c r="G28" s="390"/>
      <c r="H28" s="390"/>
      <c r="I28" s="390"/>
      <c r="J28" s="390"/>
      <c r="K28" s="390"/>
      <c r="L28" s="390"/>
      <c r="M28" s="390"/>
      <c r="N28" s="390"/>
      <c r="O28" s="390"/>
      <c r="P28" s="390"/>
      <c r="Q28" s="390"/>
      <c r="R28" s="390"/>
      <c r="S28" s="390"/>
      <c r="T28" s="390"/>
      <c r="U28" s="270"/>
    </row>
    <row r="29" spans="1:21" ht="15.95" customHeight="1">
      <c r="A29" s="389"/>
      <c r="B29" s="390"/>
      <c r="C29" s="390"/>
      <c r="D29" s="390"/>
      <c r="E29" s="390"/>
      <c r="F29" s="390"/>
      <c r="G29" s="390"/>
      <c r="H29" s="390"/>
      <c r="I29" s="390"/>
      <c r="J29" s="390"/>
      <c r="K29" s="390"/>
      <c r="L29" s="390"/>
      <c r="M29" s="390"/>
      <c r="N29" s="390"/>
      <c r="O29" s="390"/>
      <c r="P29" s="390"/>
      <c r="Q29" s="390"/>
      <c r="R29" s="390"/>
      <c r="S29" s="390"/>
      <c r="T29" s="390"/>
      <c r="U29" s="270"/>
    </row>
    <row r="30" spans="1:21" ht="15.95" customHeight="1">
      <c r="A30" s="389"/>
      <c r="B30" s="390"/>
      <c r="C30" s="390"/>
      <c r="D30" s="390"/>
      <c r="E30" s="390"/>
      <c r="F30" s="390"/>
      <c r="G30" s="390"/>
      <c r="H30" s="390"/>
      <c r="I30" s="390"/>
      <c r="J30" s="390"/>
      <c r="K30" s="390"/>
      <c r="L30" s="390"/>
      <c r="M30" s="390"/>
      <c r="N30" s="390"/>
      <c r="O30" s="390"/>
      <c r="P30" s="390"/>
      <c r="Q30" s="390"/>
      <c r="R30" s="390"/>
      <c r="S30" s="390"/>
      <c r="T30" s="390"/>
      <c r="U30" s="270"/>
    </row>
    <row r="31" spans="1:21" ht="15.95" customHeight="1">
      <c r="A31" s="389"/>
      <c r="B31" s="390"/>
      <c r="C31" s="390"/>
      <c r="D31" s="390"/>
      <c r="E31" s="390"/>
      <c r="F31" s="390"/>
      <c r="G31" s="390"/>
      <c r="H31" s="390"/>
      <c r="I31" s="390"/>
      <c r="J31" s="390"/>
      <c r="K31" s="390"/>
      <c r="L31" s="390"/>
      <c r="M31" s="390"/>
      <c r="N31" s="390"/>
      <c r="O31" s="390"/>
      <c r="P31" s="390"/>
      <c r="Q31" s="390"/>
      <c r="R31" s="390"/>
      <c r="S31" s="390"/>
      <c r="T31" s="390"/>
      <c r="U31" s="270"/>
    </row>
    <row r="32" spans="1:21" ht="15.95" customHeight="1">
      <c r="A32" s="389"/>
      <c r="B32" s="390"/>
      <c r="C32" s="390"/>
      <c r="D32" s="390"/>
      <c r="E32" s="390"/>
      <c r="F32" s="390"/>
      <c r="G32" s="390"/>
      <c r="H32" s="390"/>
      <c r="I32" s="390"/>
      <c r="J32" s="390"/>
      <c r="K32" s="390"/>
      <c r="L32" s="390"/>
      <c r="M32" s="390"/>
      <c r="N32" s="390"/>
      <c r="O32" s="390"/>
      <c r="P32" s="390"/>
      <c r="Q32" s="390"/>
      <c r="R32" s="390"/>
      <c r="S32" s="390"/>
      <c r="T32" s="390"/>
      <c r="U32" s="270"/>
    </row>
    <row r="33" spans="1:21" ht="15.95" customHeight="1">
      <c r="A33" s="295"/>
      <c r="B33" s="653"/>
      <c r="C33" s="653"/>
      <c r="D33" s="653"/>
      <c r="E33" s="653"/>
      <c r="F33" s="653"/>
      <c r="G33" s="391"/>
      <c r="H33" s="376"/>
      <c r="I33" s="376"/>
      <c r="J33" s="376"/>
      <c r="K33" s="393"/>
      <c r="L33" s="390"/>
      <c r="M33" s="390"/>
      <c r="N33" s="390"/>
      <c r="O33" s="390"/>
      <c r="P33" s="650"/>
      <c r="Q33" s="650"/>
      <c r="R33" s="650"/>
      <c r="S33" s="650"/>
      <c r="T33" s="650"/>
      <c r="U33" s="270"/>
    </row>
    <row r="34" spans="1:21" ht="15.95" customHeight="1">
      <c r="A34" s="295"/>
      <c r="B34" s="651" t="s">
        <v>100</v>
      </c>
      <c r="C34" s="651"/>
      <c r="D34" s="651"/>
      <c r="E34" s="651"/>
      <c r="F34" s="651"/>
      <c r="G34" s="391"/>
      <c r="H34" s="376"/>
      <c r="I34" s="376"/>
      <c r="J34" s="376"/>
      <c r="K34" s="393"/>
      <c r="L34" s="390"/>
      <c r="M34" s="390"/>
      <c r="N34" s="390"/>
      <c r="O34" s="390"/>
      <c r="P34" s="651" t="s">
        <v>101</v>
      </c>
      <c r="Q34" s="651"/>
      <c r="R34" s="651"/>
      <c r="S34" s="651"/>
      <c r="T34" s="651"/>
      <c r="U34" s="270"/>
    </row>
    <row r="35" spans="1:21" ht="15.95" customHeight="1">
      <c r="A35" s="389"/>
      <c r="B35" s="390"/>
      <c r="C35" s="390"/>
      <c r="D35" s="390"/>
      <c r="E35" s="390"/>
      <c r="F35" s="390"/>
      <c r="G35" s="390"/>
      <c r="H35" s="390"/>
      <c r="I35" s="390"/>
      <c r="J35" s="390"/>
      <c r="K35" s="390"/>
      <c r="L35" s="390"/>
      <c r="M35" s="390"/>
      <c r="N35" s="390"/>
      <c r="O35" s="390"/>
      <c r="P35" s="390"/>
      <c r="Q35" s="390"/>
      <c r="R35" s="390"/>
      <c r="S35" s="390"/>
      <c r="T35" s="390"/>
      <c r="U35" s="270"/>
    </row>
    <row r="36" spans="1:21" ht="15.95" customHeight="1" thickBot="1">
      <c r="A36" s="271"/>
      <c r="B36" s="272"/>
      <c r="C36" s="272"/>
      <c r="D36" s="272"/>
      <c r="E36" s="272"/>
      <c r="F36" s="272"/>
      <c r="G36" s="272"/>
      <c r="H36" s="272"/>
      <c r="I36" s="272"/>
      <c r="J36" s="272"/>
      <c r="K36" s="272"/>
      <c r="L36" s="272"/>
      <c r="M36" s="272"/>
      <c r="N36" s="272"/>
      <c r="O36" s="272"/>
      <c r="P36" s="272"/>
      <c r="Q36" s="272"/>
      <c r="R36" s="272"/>
      <c r="S36" s="272"/>
      <c r="T36" s="272"/>
      <c r="U36" s="273"/>
    </row>
  </sheetData>
  <mergeCells count="34">
    <mergeCell ref="F1:O2"/>
    <mergeCell ref="P1:R1"/>
    <mergeCell ref="S1:U1"/>
    <mergeCell ref="Y1:AG2"/>
    <mergeCell ref="P2:R2"/>
    <mergeCell ref="S2:U2"/>
    <mergeCell ref="Y3:AG11"/>
    <mergeCell ref="B4:J4"/>
    <mergeCell ref="M4:O4"/>
    <mergeCell ref="P4:T4"/>
    <mergeCell ref="B5:J5"/>
    <mergeCell ref="M5:O5"/>
    <mergeCell ref="P5:T5"/>
    <mergeCell ref="B6:J6"/>
    <mergeCell ref="M6:O6"/>
    <mergeCell ref="P6:T6"/>
    <mergeCell ref="B9:J9"/>
    <mergeCell ref="B14:T14"/>
    <mergeCell ref="B7:J7"/>
    <mergeCell ref="M7:O7"/>
    <mergeCell ref="B8:J8"/>
    <mergeCell ref="P7:T7"/>
    <mergeCell ref="M8:O8"/>
    <mergeCell ref="P8:Q8"/>
    <mergeCell ref="R8:T8"/>
    <mergeCell ref="B21:T21"/>
    <mergeCell ref="P33:T33"/>
    <mergeCell ref="P34:T34"/>
    <mergeCell ref="B16:T16"/>
    <mergeCell ref="B17:T17"/>
    <mergeCell ref="B33:F33"/>
    <mergeCell ref="B34:F34"/>
    <mergeCell ref="B19:T19"/>
    <mergeCell ref="B20:T20"/>
  </mergeCells>
  <conditionalFormatting sqref="B4:J4">
    <cfRule type="cellIs" dxfId="7" priority="1" operator="equal">
      <formula>0</formula>
    </cfRule>
  </conditionalFormatting>
  <printOptions horizontalCentered="1"/>
  <pageMargins left="3.9370078740157501E-2" right="3.9370078740157501E-2" top="0.38" bottom="7.8740157480315001E-2" header="0.47" footer="0.31496062992126"/>
  <pageSetup paperSize="9" scale="95"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D7252C8F-520B-4B08-BED5-EFEDCEEE049B}">
          <x14:formula1>
            <xm:f>'Data Entry'!$B$11:$C$11</xm:f>
          </x14:formula1>
          <xm:sqref>AK5:AO5 P5:T5</xm:sqref>
        </x14:dataValidation>
        <x14:dataValidation type="list" allowBlank="1" showInputMessage="1" showErrorMessage="1" xr:uid="{93645D10-ADC6-4D42-A372-6B28EE0FD693}">
          <x14:formula1>
            <xm:f>'Data Entry'!$B$13:$C$13</xm:f>
          </x14:formula1>
          <xm:sqref>B4:J4</xm:sqref>
        </x14:dataValidation>
        <x14:dataValidation type="list" allowBlank="1" showInputMessage="1" showErrorMessage="1" xr:uid="{6CA7DA12-6CEE-4AC5-89C0-C432A2EBABA9}">
          <x14:formula1>
            <xm:f>'Data Entry'!$B$15:$C$15</xm:f>
          </x14:formula1>
          <xm:sqref>R8:T8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tabColor rgb="FFFFFF00"/>
    <pageSetUpPr fitToPage="1"/>
  </sheetPr>
  <dimension ref="B1:T200"/>
  <sheetViews>
    <sheetView workbookViewId="0"/>
  </sheetViews>
  <sheetFormatPr baseColWidth="10" defaultColWidth="0" defaultRowHeight="0" customHeight="1" zeroHeight="1"/>
  <cols>
    <col min="1" max="1" width="1.28515625" style="40" customWidth="1"/>
    <col min="2" max="4" width="9" style="40" customWidth="1"/>
    <col min="5" max="7" width="12.7109375" style="40" customWidth="1"/>
    <col min="8" max="8" width="7.85546875" style="40" customWidth="1"/>
    <col min="9" max="9" width="9" style="40" customWidth="1"/>
    <col min="10" max="10" width="11.28515625" style="40" customWidth="1"/>
    <col min="11" max="11" width="10.85546875" style="40" customWidth="1"/>
    <col min="12" max="14" width="12.7109375" style="40" customWidth="1"/>
    <col min="15" max="15" width="1.5703125" style="40" customWidth="1"/>
    <col min="16" max="16" width="8.5703125" style="40" hidden="1" customWidth="1"/>
    <col min="17" max="18" width="0" style="40" hidden="1" customWidth="1"/>
    <col min="19" max="19" width="8.28515625" style="40" hidden="1" customWidth="1"/>
    <col min="20" max="20" width="9.7109375" style="40" hidden="1" customWidth="1"/>
    <col min="21" max="16384" width="0" style="40" hidden="1"/>
  </cols>
  <sheetData>
    <row r="1" spans="2:17" ht="9" customHeight="1" thickBot="1"/>
    <row r="2" spans="2:17" ht="19.5" customHeight="1">
      <c r="B2" s="41"/>
      <c r="C2" s="42"/>
      <c r="D2" s="42"/>
      <c r="E2" s="761" t="s">
        <v>384</v>
      </c>
      <c r="F2" s="762"/>
      <c r="G2" s="762"/>
      <c r="H2" s="762"/>
      <c r="I2" s="762"/>
      <c r="J2" s="762"/>
      <c r="K2" s="762"/>
      <c r="L2" s="763"/>
      <c r="M2" s="209" t="s">
        <v>32</v>
      </c>
      <c r="N2" s="93" t="s">
        <v>2</v>
      </c>
    </row>
    <row r="3" spans="2:17" ht="20.25" customHeight="1" thickBot="1">
      <c r="B3" s="46"/>
      <c r="C3" s="47"/>
      <c r="D3" s="47"/>
      <c r="E3" s="764"/>
      <c r="F3" s="765"/>
      <c r="G3" s="765"/>
      <c r="H3" s="765"/>
      <c r="I3" s="765"/>
      <c r="J3" s="765"/>
      <c r="K3" s="765"/>
      <c r="L3" s="766"/>
      <c r="M3" s="211" t="s">
        <v>33</v>
      </c>
      <c r="N3" s="94">
        <v>42917</v>
      </c>
    </row>
    <row r="4" spans="2:17" ht="18.75">
      <c r="B4" s="51"/>
      <c r="C4" s="52"/>
      <c r="D4" s="52"/>
      <c r="E4" s="52"/>
      <c r="F4" s="53"/>
      <c r="G4" s="53"/>
      <c r="H4" s="53"/>
      <c r="I4" s="53"/>
      <c r="J4" s="53"/>
      <c r="K4" s="53"/>
      <c r="L4" s="53"/>
      <c r="M4" s="53"/>
      <c r="N4" s="54"/>
    </row>
    <row r="5" spans="2:17" ht="18" customHeight="1">
      <c r="B5" s="51" t="s">
        <v>34</v>
      </c>
      <c r="C5" s="767" t="str">
        <f>NOR!P4</f>
        <v/>
      </c>
      <c r="D5" s="767"/>
      <c r="E5" s="767"/>
      <c r="F5" s="52" t="s">
        <v>35</v>
      </c>
      <c r="G5" s="767">
        <f>'Data Entry'!B13</f>
        <v>0</v>
      </c>
      <c r="H5" s="767"/>
      <c r="I5" s="767"/>
      <c r="J5" s="767"/>
      <c r="K5" s="52"/>
      <c r="L5" s="52" t="s">
        <v>36</v>
      </c>
      <c r="M5" s="771">
        <f>'Data Entry'!B11</f>
        <v>0</v>
      </c>
      <c r="N5" s="772"/>
    </row>
    <row r="6" spans="2:17" ht="18" customHeight="1">
      <c r="B6" s="51"/>
      <c r="C6" s="52"/>
      <c r="D6" s="52"/>
      <c r="E6" s="52"/>
      <c r="F6" s="52"/>
      <c r="G6" s="52"/>
      <c r="H6" s="52"/>
      <c r="I6" s="52"/>
      <c r="J6" s="52"/>
      <c r="K6" s="52"/>
      <c r="L6" s="52"/>
      <c r="M6" s="52"/>
      <c r="N6" s="54"/>
    </row>
    <row r="7" spans="2:17" ht="18" customHeight="1">
      <c r="B7" s="51" t="s">
        <v>37</v>
      </c>
      <c r="C7" s="773">
        <f>'Data Entry'!B19</f>
        <v>0</v>
      </c>
      <c r="D7" s="773"/>
      <c r="E7" s="773"/>
      <c r="F7" s="52" t="s">
        <v>38</v>
      </c>
      <c r="G7" s="774">
        <f>'Data Entry'!B23</f>
        <v>0</v>
      </c>
      <c r="H7" s="774"/>
      <c r="I7" s="774"/>
      <c r="J7" s="774"/>
      <c r="K7" s="52"/>
      <c r="L7" s="52" t="s">
        <v>39</v>
      </c>
      <c r="M7" s="775" t="e">
        <f>#REF!</f>
        <v>#REF!</v>
      </c>
      <c r="N7" s="776"/>
    </row>
    <row r="8" spans="2:17" ht="4.1500000000000004" customHeight="1">
      <c r="B8" s="51"/>
      <c r="C8" s="55"/>
      <c r="D8" s="55"/>
      <c r="E8" s="55"/>
      <c r="F8" s="52"/>
      <c r="G8" s="52"/>
      <c r="H8" s="52"/>
      <c r="I8" s="55"/>
      <c r="J8" s="55"/>
      <c r="K8" s="55"/>
      <c r="L8" s="52"/>
      <c r="M8" s="52"/>
      <c r="N8" s="54"/>
    </row>
    <row r="9" spans="2:17" ht="18" customHeight="1">
      <c r="B9" s="768" t="s">
        <v>40</v>
      </c>
      <c r="C9" s="769"/>
      <c r="D9" s="769"/>
      <c r="E9" s="769"/>
      <c r="F9" s="769"/>
      <c r="G9" s="769"/>
      <c r="H9" s="55"/>
      <c r="I9" s="769" t="s">
        <v>41</v>
      </c>
      <c r="J9" s="769"/>
      <c r="K9" s="769"/>
      <c r="L9" s="769"/>
      <c r="M9" s="769"/>
      <c r="N9" s="770"/>
      <c r="Q9" s="56"/>
    </row>
    <row r="10" spans="2:17" ht="18" customHeight="1">
      <c r="B10" s="51" t="s">
        <v>42</v>
      </c>
      <c r="C10" s="52"/>
      <c r="D10" s="52"/>
      <c r="E10" s="668" t="s">
        <v>371</v>
      </c>
      <c r="F10" s="668"/>
      <c r="G10" s="668"/>
      <c r="H10" s="52"/>
      <c r="I10" s="52" t="s">
        <v>43</v>
      </c>
      <c r="J10" s="52"/>
      <c r="K10" s="52"/>
      <c r="L10" s="668"/>
      <c r="M10" s="668"/>
      <c r="N10" s="781"/>
    </row>
    <row r="11" spans="2:17" ht="23.25" customHeight="1">
      <c r="B11" s="51"/>
      <c r="C11" s="52"/>
      <c r="D11" s="52"/>
      <c r="E11" s="777">
        <f>'Data Entry'!B25</f>
        <v>0</v>
      </c>
      <c r="F11" s="777"/>
      <c r="G11" s="777"/>
      <c r="H11" s="52"/>
      <c r="I11" s="52"/>
      <c r="J11" s="52"/>
      <c r="K11" s="52"/>
      <c r="L11" s="777">
        <f>E11</f>
        <v>0</v>
      </c>
      <c r="M11" s="777"/>
      <c r="N11" s="778"/>
    </row>
    <row r="12" spans="2:17" ht="26.25" hidden="1" customHeight="1">
      <c r="B12" s="670" t="s">
        <v>286</v>
      </c>
      <c r="C12" s="671"/>
      <c r="D12" s="52" t="s">
        <v>44</v>
      </c>
      <c r="E12" s="230" t="s">
        <v>285</v>
      </c>
      <c r="F12" s="248" t="s">
        <v>290</v>
      </c>
      <c r="G12" s="230"/>
      <c r="H12" s="52"/>
      <c r="I12" s="673" t="s">
        <v>288</v>
      </c>
      <c r="J12" s="674"/>
      <c r="K12" s="52" t="s">
        <v>44</v>
      </c>
      <c r="L12" s="230" t="s">
        <v>285</v>
      </c>
      <c r="M12" s="248" t="s">
        <v>290</v>
      </c>
      <c r="N12" s="264"/>
    </row>
    <row r="13" spans="2:17" ht="26.25" hidden="1" customHeight="1">
      <c r="B13" s="672"/>
      <c r="C13" s="671"/>
      <c r="D13" s="52" t="s">
        <v>45</v>
      </c>
      <c r="E13" s="249" t="s">
        <v>291</v>
      </c>
      <c r="F13" s="250" t="s">
        <v>291</v>
      </c>
      <c r="G13" s="249"/>
      <c r="H13" s="52"/>
      <c r="I13" s="673"/>
      <c r="J13" s="674"/>
      <c r="K13" s="52" t="s">
        <v>45</v>
      </c>
      <c r="L13" s="249" t="s">
        <v>291</v>
      </c>
      <c r="M13" s="250" t="s">
        <v>291</v>
      </c>
      <c r="N13" s="266"/>
    </row>
    <row r="14" spans="2:17" ht="26.25" hidden="1" customHeight="1" thickBot="1">
      <c r="B14" s="672"/>
      <c r="C14" s="671"/>
      <c r="D14" s="251" t="s">
        <v>46</v>
      </c>
      <c r="E14" s="247" t="s">
        <v>285</v>
      </c>
      <c r="F14" s="265" t="s">
        <v>290</v>
      </c>
      <c r="G14" s="242"/>
      <c r="H14" s="52"/>
      <c r="I14" s="673"/>
      <c r="J14" s="674"/>
      <c r="K14" s="251" t="s">
        <v>46</v>
      </c>
      <c r="L14" s="247" t="s">
        <v>285</v>
      </c>
      <c r="M14" s="265" t="s">
        <v>290</v>
      </c>
      <c r="N14" s="245"/>
    </row>
    <row r="15" spans="2:17" ht="26.25" customHeight="1">
      <c r="B15" s="670" t="s">
        <v>287</v>
      </c>
      <c r="C15" s="671"/>
      <c r="D15" s="52" t="s">
        <v>44</v>
      </c>
      <c r="E15" s="668" t="s">
        <v>365</v>
      </c>
      <c r="F15" s="668"/>
      <c r="G15" s="668"/>
      <c r="H15" s="52"/>
      <c r="I15" s="673" t="s">
        <v>289</v>
      </c>
      <c r="J15" s="674"/>
      <c r="K15" s="52" t="s">
        <v>44</v>
      </c>
      <c r="L15" s="668"/>
      <c r="M15" s="668"/>
      <c r="N15" s="781"/>
    </row>
    <row r="16" spans="2:17" ht="26.25" customHeight="1">
      <c r="B16" s="672"/>
      <c r="C16" s="671"/>
      <c r="D16" s="52" t="s">
        <v>45</v>
      </c>
      <c r="E16" s="779" t="s">
        <v>369</v>
      </c>
      <c r="F16" s="779"/>
      <c r="G16" s="779"/>
      <c r="H16" s="52"/>
      <c r="I16" s="673"/>
      <c r="J16" s="674"/>
      <c r="K16" s="52" t="s">
        <v>45</v>
      </c>
      <c r="L16" s="779"/>
      <c r="M16" s="779"/>
      <c r="N16" s="780"/>
    </row>
    <row r="17" spans="2:14" ht="26.25" customHeight="1">
      <c r="B17" s="672"/>
      <c r="C17" s="671"/>
      <c r="D17" s="52" t="s">
        <v>46</v>
      </c>
      <c r="E17" s="745" t="s">
        <v>365</v>
      </c>
      <c r="F17" s="745"/>
      <c r="G17" s="745"/>
      <c r="H17" s="52"/>
      <c r="I17" s="673"/>
      <c r="J17" s="674"/>
      <c r="K17" s="52" t="s">
        <v>46</v>
      </c>
      <c r="L17" s="745"/>
      <c r="M17" s="745"/>
      <c r="N17" s="746"/>
    </row>
    <row r="18" spans="2:14" ht="18" customHeight="1">
      <c r="B18" s="51" t="s">
        <v>47</v>
      </c>
      <c r="C18" s="52"/>
      <c r="D18" s="52"/>
      <c r="E18" s="668" t="s">
        <v>372</v>
      </c>
      <c r="F18" s="669"/>
      <c r="G18" s="669"/>
      <c r="H18" s="52"/>
      <c r="I18" s="52" t="s">
        <v>48</v>
      </c>
      <c r="J18" s="52"/>
      <c r="K18" s="52"/>
      <c r="L18" s="745"/>
      <c r="M18" s="745"/>
      <c r="N18" s="746"/>
    </row>
    <row r="19" spans="2:14" ht="18" customHeight="1">
      <c r="B19" s="51" t="s">
        <v>49</v>
      </c>
      <c r="C19" s="52"/>
      <c r="D19" s="52"/>
      <c r="E19" s="668" t="s">
        <v>249</v>
      </c>
      <c r="F19" s="669"/>
      <c r="G19" s="669"/>
      <c r="H19" s="52"/>
      <c r="I19" s="52" t="s">
        <v>49</v>
      </c>
      <c r="J19" s="52"/>
      <c r="K19" s="52"/>
      <c r="L19" s="668"/>
      <c r="M19" s="669"/>
      <c r="N19" s="727"/>
    </row>
    <row r="20" spans="2:14" ht="18" customHeight="1">
      <c r="B20" s="51" t="s">
        <v>50</v>
      </c>
      <c r="C20" s="52"/>
      <c r="D20" s="52"/>
      <c r="E20" s="668" t="s">
        <v>249</v>
      </c>
      <c r="F20" s="669"/>
      <c r="G20" s="669"/>
      <c r="H20" s="52"/>
      <c r="I20" s="52" t="s">
        <v>50</v>
      </c>
      <c r="J20" s="52"/>
      <c r="K20" s="52"/>
      <c r="L20" s="668"/>
      <c r="M20" s="669"/>
      <c r="N20" s="727"/>
    </row>
    <row r="21" spans="2:14" ht="18" customHeight="1">
      <c r="B21" s="51" t="s">
        <v>51</v>
      </c>
      <c r="C21" s="52"/>
      <c r="D21" s="52"/>
      <c r="E21" s="668" t="s">
        <v>52</v>
      </c>
      <c r="F21" s="669"/>
      <c r="G21" s="669"/>
      <c r="H21" s="52"/>
      <c r="I21" s="52" t="s">
        <v>200</v>
      </c>
      <c r="J21" s="52"/>
      <c r="K21" s="52"/>
      <c r="L21" s="668"/>
      <c r="M21" s="669"/>
      <c r="N21" s="727"/>
    </row>
    <row r="22" spans="2:14" ht="18" customHeight="1">
      <c r="B22" s="51" t="s">
        <v>53</v>
      </c>
      <c r="C22" s="52"/>
      <c r="D22" s="52"/>
      <c r="E22" s="745">
        <v>0.99860000000000004</v>
      </c>
      <c r="F22" s="758"/>
      <c r="G22" s="758"/>
      <c r="H22" s="52"/>
      <c r="I22" s="52" t="s">
        <v>243</v>
      </c>
      <c r="J22" s="52"/>
      <c r="K22" s="52"/>
      <c r="L22" s="668"/>
      <c r="M22" s="669"/>
      <c r="N22" s="727"/>
    </row>
    <row r="23" spans="2:14" ht="18" customHeight="1">
      <c r="B23" s="51"/>
      <c r="C23" s="52"/>
      <c r="D23" s="52"/>
      <c r="E23" s="759"/>
      <c r="F23" s="760"/>
      <c r="G23" s="760"/>
      <c r="H23" s="52"/>
      <c r="I23" s="52" t="s">
        <v>244</v>
      </c>
      <c r="J23" s="52"/>
      <c r="K23" s="52"/>
      <c r="L23" s="668"/>
      <c r="M23" s="669"/>
      <c r="N23" s="727"/>
    </row>
    <row r="24" spans="2:14" ht="18" customHeight="1">
      <c r="B24" s="213"/>
      <c r="G24" s="52"/>
      <c r="H24" s="52"/>
      <c r="I24" s="52" t="s">
        <v>54</v>
      </c>
      <c r="J24" s="52"/>
      <c r="K24" s="52"/>
      <c r="L24" s="668"/>
      <c r="M24" s="669"/>
      <c r="N24" s="727"/>
    </row>
    <row r="25" spans="2:14" ht="18" customHeight="1" thickBot="1">
      <c r="B25" s="213"/>
      <c r="G25" s="52"/>
      <c r="H25" s="52"/>
      <c r="I25" s="52" t="s">
        <v>55</v>
      </c>
      <c r="J25" s="52"/>
      <c r="K25" s="52"/>
      <c r="L25" s="747"/>
      <c r="M25" s="748"/>
      <c r="N25" s="749"/>
    </row>
    <row r="26" spans="2:14" ht="18" customHeight="1">
      <c r="B26" s="140"/>
      <c r="C26" s="750" t="s">
        <v>57</v>
      </c>
      <c r="D26" s="751"/>
      <c r="E26" s="751"/>
      <c r="F26" s="752"/>
      <c r="G26" s="52"/>
      <c r="H26" s="52"/>
      <c r="I26" s="52" t="s">
        <v>56</v>
      </c>
      <c r="J26" s="52"/>
      <c r="K26" s="52"/>
      <c r="L26" s="745"/>
      <c r="M26" s="745"/>
      <c r="N26" s="746"/>
    </row>
    <row r="27" spans="2:14" ht="18" customHeight="1" thickBot="1">
      <c r="B27" s="140"/>
      <c r="C27" s="753" t="s">
        <v>59</v>
      </c>
      <c r="D27" s="754"/>
      <c r="E27" s="755" t="s">
        <v>60</v>
      </c>
      <c r="F27" s="756"/>
      <c r="G27" s="52"/>
      <c r="H27" s="52"/>
      <c r="I27" s="52" t="s">
        <v>58</v>
      </c>
      <c r="J27" s="52"/>
      <c r="K27" s="52"/>
      <c r="L27" s="747"/>
      <c r="M27" s="747"/>
      <c r="N27" s="757"/>
    </row>
    <row r="28" spans="2:14" ht="20.25" customHeight="1">
      <c r="B28" s="143" t="s">
        <v>62</v>
      </c>
      <c r="C28" s="659" t="s">
        <v>245</v>
      </c>
      <c r="D28" s="660"/>
      <c r="E28" s="660"/>
      <c r="F28" s="661"/>
      <c r="G28" s="52"/>
      <c r="H28" s="52"/>
      <c r="I28" s="52" t="s">
        <v>61</v>
      </c>
      <c r="J28" s="52"/>
      <c r="K28" s="52"/>
      <c r="L28" s="745" t="s">
        <v>191</v>
      </c>
      <c r="M28" s="745"/>
      <c r="N28" s="746"/>
    </row>
    <row r="29" spans="2:14" ht="20.25" customHeight="1">
      <c r="B29" s="144" t="s">
        <v>63</v>
      </c>
      <c r="C29" s="662"/>
      <c r="D29" s="663"/>
      <c r="E29" s="663"/>
      <c r="F29" s="664"/>
      <c r="G29" s="52"/>
      <c r="H29" s="52"/>
      <c r="I29" s="52" t="s">
        <v>246</v>
      </c>
      <c r="J29" s="52"/>
      <c r="K29" s="52"/>
      <c r="L29" s="745"/>
      <c r="M29" s="745"/>
      <c r="N29" s="746"/>
    </row>
    <row r="30" spans="2:14" ht="18" customHeight="1" thickBot="1">
      <c r="B30" s="145" t="s">
        <v>64</v>
      </c>
      <c r="C30" s="665"/>
      <c r="D30" s="666"/>
      <c r="E30" s="666"/>
      <c r="F30" s="667"/>
      <c r="G30" s="52"/>
      <c r="H30" s="52"/>
      <c r="I30" s="52" t="s">
        <v>247</v>
      </c>
      <c r="J30" s="52"/>
      <c r="K30" s="52"/>
      <c r="L30" s="668"/>
      <c r="M30" s="669"/>
      <c r="N30" s="727"/>
    </row>
    <row r="31" spans="2:14" ht="18" customHeight="1">
      <c r="B31" s="213"/>
      <c r="G31" s="52"/>
      <c r="H31" s="52"/>
      <c r="I31" s="52" t="s">
        <v>370</v>
      </c>
      <c r="J31" s="52"/>
      <c r="K31" s="52"/>
      <c r="L31" s="668"/>
      <c r="M31" s="669"/>
      <c r="N31" s="727"/>
    </row>
    <row r="32" spans="2:14" ht="18" customHeight="1" thickBot="1">
      <c r="B32" s="213"/>
      <c r="G32" s="52"/>
      <c r="H32" s="52"/>
      <c r="I32" s="52"/>
      <c r="J32" s="52"/>
      <c r="K32" s="52"/>
      <c r="L32" s="728"/>
      <c r="M32" s="729"/>
      <c r="N32" s="730"/>
    </row>
    <row r="33" spans="2:14" ht="18" customHeight="1">
      <c r="B33" s="731" t="s">
        <v>66</v>
      </c>
      <c r="C33" s="732"/>
      <c r="D33" s="735"/>
      <c r="E33" s="736"/>
      <c r="F33" s="737"/>
      <c r="G33" s="141"/>
      <c r="H33" s="741" t="s">
        <v>65</v>
      </c>
      <c r="I33" s="742"/>
      <c r="J33" s="700">
        <f>'Data Entry'!B25</f>
        <v>0</v>
      </c>
      <c r="K33" s="701"/>
      <c r="L33" s="701"/>
      <c r="M33" s="701"/>
      <c r="N33" s="702"/>
    </row>
    <row r="34" spans="2:14" ht="36" customHeight="1" thickBot="1">
      <c r="B34" s="733"/>
      <c r="C34" s="734"/>
      <c r="D34" s="738"/>
      <c r="E34" s="739"/>
      <c r="F34" s="740"/>
      <c r="G34" s="141"/>
      <c r="H34" s="743" t="s">
        <v>67</v>
      </c>
      <c r="I34" s="744"/>
      <c r="J34" s="703"/>
      <c r="K34" s="704"/>
      <c r="L34" s="704"/>
      <c r="M34" s="704"/>
      <c r="N34" s="705"/>
    </row>
    <row r="35" spans="2:14" ht="36" customHeight="1" thickBot="1">
      <c r="B35" s="213"/>
      <c r="G35" s="141"/>
      <c r="H35" s="657" t="s">
        <v>68</v>
      </c>
      <c r="I35" s="658"/>
      <c r="J35" s="697" t="s">
        <v>373</v>
      </c>
      <c r="K35" s="698"/>
      <c r="L35" s="698"/>
      <c r="M35" s="698"/>
      <c r="N35" s="699"/>
    </row>
    <row r="36" spans="2:14" ht="14.25" customHeight="1" thickBot="1">
      <c r="B36" s="58" t="s">
        <v>69</v>
      </c>
      <c r="C36" s="52"/>
      <c r="D36" s="55"/>
      <c r="E36" s="59"/>
      <c r="F36" s="55"/>
      <c r="G36" s="55"/>
      <c r="H36" s="55"/>
      <c r="I36" s="52"/>
      <c r="J36" s="52"/>
      <c r="K36" s="52"/>
      <c r="L36" s="718"/>
      <c r="M36" s="719"/>
      <c r="N36" s="720"/>
    </row>
    <row r="37" spans="2:14" ht="18" customHeight="1" thickBot="1">
      <c r="B37" s="154" t="s">
        <v>70</v>
      </c>
      <c r="C37" s="721" t="s">
        <v>92</v>
      </c>
      <c r="D37" s="722"/>
      <c r="E37" s="722" t="s">
        <v>93</v>
      </c>
      <c r="F37" s="722"/>
      <c r="G37" s="722" t="s">
        <v>94</v>
      </c>
      <c r="H37" s="722"/>
      <c r="I37" s="723"/>
      <c r="J37" s="724"/>
      <c r="K37" s="725"/>
      <c r="L37" s="725"/>
      <c r="M37" s="725"/>
      <c r="N37" s="726"/>
    </row>
    <row r="38" spans="2:14" ht="18" customHeight="1">
      <c r="B38" s="170" t="s">
        <v>71</v>
      </c>
      <c r="C38" s="688" t="s">
        <v>381</v>
      </c>
      <c r="D38" s="716"/>
      <c r="E38" s="717" t="s">
        <v>382</v>
      </c>
      <c r="F38" s="717"/>
      <c r="G38" s="717" t="s">
        <v>383</v>
      </c>
      <c r="H38" s="717"/>
      <c r="I38" s="691"/>
      <c r="J38" s="691"/>
      <c r="K38" s="691"/>
      <c r="L38" s="691"/>
      <c r="M38" s="691"/>
      <c r="N38" s="712"/>
    </row>
    <row r="39" spans="2:14" ht="18" customHeight="1">
      <c r="B39" s="171" t="s">
        <v>72</v>
      </c>
      <c r="C39" s="688" t="s">
        <v>380</v>
      </c>
      <c r="D39" s="689"/>
      <c r="E39" s="690" t="s">
        <v>379</v>
      </c>
      <c r="F39" s="690"/>
      <c r="G39" s="688" t="s">
        <v>378</v>
      </c>
      <c r="H39" s="689"/>
      <c r="I39" s="691"/>
      <c r="J39" s="691"/>
      <c r="K39" s="691"/>
      <c r="L39" s="691"/>
      <c r="M39" s="691"/>
      <c r="N39" s="712"/>
    </row>
    <row r="40" spans="2:14" ht="18" customHeight="1" thickBot="1">
      <c r="B40" s="172" t="s">
        <v>72</v>
      </c>
      <c r="C40" s="693" t="s">
        <v>375</v>
      </c>
      <c r="D40" s="694"/>
      <c r="E40" s="713" t="s">
        <v>376</v>
      </c>
      <c r="F40" s="713"/>
      <c r="G40" s="713" t="s">
        <v>377</v>
      </c>
      <c r="H40" s="713"/>
      <c r="I40" s="714"/>
      <c r="J40" s="714"/>
      <c r="K40" s="714"/>
      <c r="L40" s="714"/>
      <c r="M40" s="714"/>
      <c r="N40" s="715"/>
    </row>
    <row r="41" spans="2:14" ht="18" customHeight="1">
      <c r="B41" s="214"/>
      <c r="C41" s="141"/>
      <c r="D41" s="141"/>
      <c r="E41" s="141"/>
      <c r="F41" s="141"/>
      <c r="G41" s="141"/>
      <c r="H41" s="141"/>
      <c r="I41" s="141"/>
      <c r="J41" s="141"/>
      <c r="K41" s="141"/>
      <c r="L41" s="141"/>
      <c r="M41" s="141"/>
      <c r="N41" s="246"/>
    </row>
    <row r="42" spans="2:14" ht="5.25" customHeight="1" thickBot="1">
      <c r="B42" s="51"/>
      <c r="C42" s="52"/>
      <c r="D42" s="52"/>
      <c r="E42" s="52"/>
      <c r="F42" s="52"/>
      <c r="G42" s="52"/>
      <c r="H42" s="52"/>
      <c r="I42" s="52"/>
      <c r="J42" s="52"/>
      <c r="K42" s="52"/>
      <c r="L42" s="52"/>
      <c r="M42" s="52"/>
      <c r="N42" s="54"/>
    </row>
    <row r="43" spans="2:14" ht="15.75" customHeight="1" thickBot="1">
      <c r="B43" s="163" t="s">
        <v>363</v>
      </c>
      <c r="C43" s="159" t="s">
        <v>74</v>
      </c>
      <c r="D43" s="160" t="s">
        <v>75</v>
      </c>
      <c r="E43" s="161" t="s">
        <v>76</v>
      </c>
      <c r="F43" s="52"/>
      <c r="G43" s="52"/>
      <c r="H43" s="52"/>
      <c r="I43" s="165" t="s">
        <v>77</v>
      </c>
      <c r="J43" s="166"/>
      <c r="K43" s="706">
        <f>NOR!O33</f>
        <v>0</v>
      </c>
      <c r="L43" s="706"/>
      <c r="M43" s="706"/>
      <c r="N43" s="707"/>
    </row>
    <row r="44" spans="2:14" ht="18" customHeight="1">
      <c r="B44" s="158" t="s">
        <v>78</v>
      </c>
      <c r="C44" s="274">
        <v>6</v>
      </c>
      <c r="D44" s="275">
        <v>6.8</v>
      </c>
      <c r="E44" s="276">
        <v>6.4</v>
      </c>
      <c r="F44" s="282" t="s">
        <v>275</v>
      </c>
      <c r="G44" s="52"/>
      <c r="H44" s="52"/>
      <c r="I44" s="167" t="s">
        <v>79</v>
      </c>
      <c r="J44" s="146"/>
      <c r="K44" s="708" t="s">
        <v>374</v>
      </c>
      <c r="L44" s="708"/>
      <c r="M44" s="708"/>
      <c r="N44" s="709"/>
    </row>
    <row r="45" spans="2:14" ht="18" customHeight="1" thickBot="1">
      <c r="B45" s="164" t="s">
        <v>80</v>
      </c>
      <c r="C45" s="277">
        <v>10.35</v>
      </c>
      <c r="D45" s="278">
        <v>10.35</v>
      </c>
      <c r="E45" s="279">
        <v>10.35</v>
      </c>
      <c r="F45" s="229" t="s">
        <v>275</v>
      </c>
      <c r="G45" s="52"/>
      <c r="H45" s="52"/>
      <c r="I45" s="168" t="s">
        <v>81</v>
      </c>
      <c r="J45" s="169"/>
      <c r="K45" s="710" t="s">
        <v>366</v>
      </c>
      <c r="L45" s="710"/>
      <c r="M45" s="710"/>
      <c r="N45" s="711"/>
    </row>
    <row r="46" spans="2:14" ht="7.5" customHeight="1" thickBot="1">
      <c r="B46" s="51"/>
      <c r="C46" s="52"/>
      <c r="D46" s="52"/>
      <c r="E46" s="52"/>
      <c r="F46" s="52"/>
      <c r="G46" s="52"/>
      <c r="H46" s="52"/>
      <c r="I46" s="52"/>
      <c r="J46" s="52"/>
      <c r="K46" s="52"/>
      <c r="L46" s="52"/>
      <c r="M46" s="52"/>
      <c r="N46" s="54"/>
    </row>
    <row r="47" spans="2:14" ht="15" customHeight="1">
      <c r="B47" s="675" t="s">
        <v>82</v>
      </c>
      <c r="C47" s="676"/>
      <c r="D47" s="676"/>
      <c r="E47" s="676"/>
      <c r="F47" s="676"/>
      <c r="G47" s="677"/>
      <c r="H47" s="55"/>
      <c r="I47" s="200" t="s">
        <v>134</v>
      </c>
      <c r="J47" s="201"/>
      <c r="K47" s="201"/>
      <c r="L47" s="201"/>
      <c r="M47" s="201"/>
      <c r="N47" s="202"/>
    </row>
    <row r="48" spans="2:14" ht="18" customHeight="1">
      <c r="B48" s="57" t="s">
        <v>83</v>
      </c>
      <c r="C48" s="60" t="s">
        <v>84</v>
      </c>
      <c r="D48" s="60" t="s">
        <v>83</v>
      </c>
      <c r="E48" s="60" t="s">
        <v>84</v>
      </c>
      <c r="F48" s="60" t="s">
        <v>83</v>
      </c>
      <c r="G48" s="199" t="s">
        <v>84</v>
      </c>
      <c r="H48" s="52"/>
      <c r="I48" s="203"/>
      <c r="J48" s="203"/>
      <c r="K48" s="203"/>
      <c r="L48" s="203"/>
      <c r="M48" s="203"/>
      <c r="N48" s="204"/>
    </row>
    <row r="49" spans="2:14" ht="18" customHeight="1">
      <c r="B49" s="678" t="s">
        <v>85</v>
      </c>
      <c r="C49" s="679"/>
      <c r="D49" s="679"/>
      <c r="E49" s="679"/>
      <c r="F49" s="679"/>
      <c r="G49" s="680"/>
      <c r="H49" s="198"/>
      <c r="I49" s="205"/>
      <c r="J49" s="203"/>
      <c r="K49" s="203"/>
      <c r="L49" s="203"/>
      <c r="M49" s="203"/>
      <c r="N49" s="204"/>
    </row>
    <row r="50" spans="2:14" ht="18" customHeight="1">
      <c r="B50" s="681"/>
      <c r="C50" s="682"/>
      <c r="D50" s="682"/>
      <c r="E50" s="682"/>
      <c r="F50" s="682"/>
      <c r="G50" s="683"/>
      <c r="H50" s="198"/>
      <c r="I50" s="205"/>
      <c r="J50" s="203"/>
      <c r="K50" s="203"/>
      <c r="L50" s="203"/>
      <c r="M50" s="203"/>
      <c r="N50" s="204"/>
    </row>
    <row r="51" spans="2:14" ht="18" customHeight="1" thickBot="1">
      <c r="B51" s="684"/>
      <c r="C51" s="685"/>
      <c r="D51" s="685"/>
      <c r="E51" s="685"/>
      <c r="F51" s="685"/>
      <c r="G51" s="686"/>
      <c r="H51" s="198"/>
      <c r="I51" s="205"/>
      <c r="J51" s="203"/>
      <c r="K51" s="203"/>
      <c r="L51" s="203"/>
      <c r="M51" s="203"/>
      <c r="N51" s="204"/>
    </row>
    <row r="52" spans="2:14" ht="18" customHeight="1">
      <c r="B52" s="51"/>
      <c r="C52" s="52"/>
      <c r="D52" s="52"/>
      <c r="E52" s="52"/>
      <c r="F52" s="52"/>
      <c r="G52" s="52"/>
      <c r="H52" s="52"/>
      <c r="I52" s="52"/>
      <c r="J52" s="52"/>
      <c r="K52" s="52"/>
      <c r="L52" s="52"/>
      <c r="M52" s="52"/>
      <c r="N52" s="54"/>
    </row>
    <row r="53" spans="2:14" ht="18" customHeight="1">
      <c r="B53" s="51" t="s">
        <v>259</v>
      </c>
      <c r="C53" s="52"/>
      <c r="D53" s="52"/>
      <c r="E53" s="141"/>
      <c r="F53" s="52"/>
      <c r="G53" s="687"/>
      <c r="H53" s="687"/>
      <c r="I53" s="687"/>
      <c r="J53" s="687"/>
      <c r="K53" s="52"/>
      <c r="L53" s="687"/>
      <c r="M53" s="687"/>
      <c r="N53" s="692"/>
    </row>
    <row r="54" spans="2:14" ht="18" customHeight="1">
      <c r="B54" s="51"/>
      <c r="C54" s="52"/>
      <c r="D54" s="52"/>
      <c r="E54" s="52"/>
      <c r="F54" s="52"/>
      <c r="G54" s="231" t="s">
        <v>86</v>
      </c>
      <c r="H54" s="142"/>
      <c r="I54" s="142"/>
      <c r="J54" s="142"/>
      <c r="K54" s="52"/>
      <c r="L54" s="695" t="s">
        <v>87</v>
      </c>
      <c r="M54" s="695"/>
      <c r="N54" s="696"/>
    </row>
    <row r="55" spans="2:14" ht="18" customHeight="1">
      <c r="B55" s="58" t="s">
        <v>88</v>
      </c>
      <c r="C55" s="52"/>
      <c r="D55" s="52"/>
      <c r="E55" s="52"/>
      <c r="F55" s="52"/>
      <c r="G55" s="52"/>
      <c r="H55" s="52"/>
      <c r="I55" s="52"/>
      <c r="J55" s="52"/>
      <c r="K55" s="52"/>
      <c r="L55" s="52"/>
      <c r="M55" s="52"/>
      <c r="N55" s="54"/>
    </row>
    <row r="56" spans="2:14" ht="3.75" customHeight="1" thickBot="1">
      <c r="B56" s="61"/>
      <c r="C56" s="62"/>
      <c r="D56" s="62"/>
      <c r="E56" s="62"/>
      <c r="F56" s="62"/>
      <c r="G56" s="62"/>
      <c r="H56" s="62"/>
      <c r="I56" s="62"/>
      <c r="J56" s="62"/>
      <c r="K56" s="62"/>
      <c r="L56" s="62"/>
      <c r="M56" s="62"/>
      <c r="N56" s="63"/>
    </row>
    <row r="57" spans="2:14" ht="9" customHeight="1"/>
    <row r="58" spans="2:14" ht="18" hidden="1" customHeight="1"/>
    <row r="59" spans="2:14" ht="18" hidden="1" customHeight="1"/>
    <row r="60" spans="2:14" ht="18" hidden="1" customHeight="1"/>
    <row r="61" spans="2:14" ht="18" hidden="1" customHeight="1"/>
    <row r="62" spans="2:14" ht="18" hidden="1" customHeight="1"/>
    <row r="63" spans="2:14" ht="18" hidden="1" customHeight="1"/>
    <row r="64" spans="2:14" ht="18" hidden="1" customHeight="1"/>
    <row r="65" ht="18" hidden="1" customHeight="1"/>
    <row r="66" ht="18" hidden="1" customHeight="1"/>
    <row r="67" ht="18" hidden="1" customHeight="1"/>
    <row r="68" ht="18" hidden="1" customHeight="1"/>
    <row r="69" ht="18" hidden="1" customHeight="1"/>
    <row r="70" ht="18" hidden="1" customHeight="1"/>
    <row r="71" ht="18" hidden="1" customHeight="1"/>
    <row r="72" ht="18" hidden="1" customHeight="1"/>
    <row r="73" ht="18" hidden="1" customHeight="1"/>
    <row r="74" ht="18" hidden="1" customHeight="1"/>
    <row r="75" ht="18" hidden="1" customHeight="1"/>
    <row r="76" ht="18" hidden="1" customHeight="1"/>
    <row r="77" ht="18" hidden="1" customHeight="1"/>
    <row r="78" ht="18" hidden="1" customHeight="1"/>
    <row r="79" ht="18" hidden="1" customHeight="1"/>
    <row r="80" ht="18" hidden="1" customHeight="1"/>
    <row r="81" ht="18" hidden="1" customHeight="1"/>
    <row r="82" ht="18" hidden="1" customHeight="1"/>
    <row r="83" ht="18" hidden="1" customHeight="1"/>
    <row r="84" ht="18" hidden="1" customHeight="1"/>
    <row r="85" ht="18" hidden="1" customHeight="1"/>
    <row r="86" ht="18" hidden="1" customHeight="1"/>
    <row r="87" ht="18" hidden="1" customHeight="1"/>
    <row r="88" ht="18" hidden="1" customHeight="1"/>
    <row r="89" ht="18" hidden="1" customHeight="1"/>
    <row r="90" ht="18" hidden="1" customHeight="1"/>
    <row r="91" ht="18" hidden="1" customHeight="1"/>
    <row r="92" ht="18" hidden="1" customHeight="1"/>
    <row r="93" ht="18" hidden="1" customHeight="1"/>
    <row r="94" ht="18" hidden="1" customHeight="1"/>
    <row r="95" ht="18" hidden="1" customHeight="1"/>
    <row r="96" ht="18" hidden="1" customHeight="1"/>
    <row r="97" ht="18" hidden="1" customHeight="1"/>
    <row r="98" ht="18" hidden="1" customHeight="1"/>
    <row r="99" ht="18" hidden="1" customHeight="1"/>
    <row r="100" ht="18" hidden="1" customHeight="1"/>
    <row r="101" ht="18" hidden="1" customHeight="1"/>
    <row r="102" ht="18" hidden="1" customHeight="1"/>
    <row r="103" ht="18" hidden="1" customHeight="1"/>
    <row r="104" ht="18" hidden="1" customHeight="1"/>
    <row r="105" ht="18" hidden="1" customHeight="1"/>
    <row r="106" ht="18" hidden="1" customHeight="1"/>
    <row r="107" ht="18" hidden="1" customHeight="1"/>
    <row r="108" ht="18" hidden="1" customHeight="1"/>
    <row r="109" ht="18" hidden="1" customHeight="1"/>
    <row r="110" ht="18" hidden="1" customHeight="1"/>
    <row r="111" ht="18" hidden="1" customHeight="1"/>
    <row r="112" ht="18" hidden="1" customHeight="1"/>
    <row r="113" ht="18" hidden="1" customHeight="1"/>
    <row r="114" ht="18" hidden="1" customHeight="1"/>
    <row r="115" ht="18" hidden="1" customHeight="1"/>
    <row r="116" ht="18" hidden="1" customHeight="1"/>
    <row r="117" ht="18" hidden="1" customHeight="1"/>
    <row r="118" ht="18" hidden="1" customHeight="1"/>
    <row r="119" ht="18" hidden="1" customHeight="1"/>
    <row r="120" ht="18" hidden="1" customHeight="1"/>
    <row r="121" ht="18" hidden="1" customHeight="1"/>
    <row r="122" ht="18" hidden="1" customHeight="1"/>
    <row r="123" ht="18" hidden="1" customHeight="1"/>
    <row r="124" ht="18" hidden="1" customHeight="1"/>
    <row r="125" ht="18" hidden="1" customHeight="1"/>
    <row r="126" ht="18" hidden="1" customHeight="1"/>
    <row r="127" ht="18" hidden="1" customHeight="1"/>
    <row r="128" ht="18" hidden="1" customHeight="1"/>
    <row r="129" ht="18" hidden="1" customHeight="1"/>
    <row r="130" ht="18" hidden="1" customHeight="1"/>
    <row r="131" ht="18" hidden="1" customHeight="1"/>
    <row r="132" ht="18" hidden="1" customHeight="1"/>
    <row r="133" ht="18" hidden="1" customHeight="1"/>
    <row r="134" ht="18" hidden="1" customHeight="1"/>
    <row r="135" ht="18" hidden="1" customHeight="1"/>
    <row r="136" ht="18" hidden="1" customHeight="1"/>
    <row r="137" ht="18" hidden="1" customHeight="1"/>
    <row r="138" ht="18" hidden="1" customHeight="1"/>
    <row r="139" ht="18" hidden="1" customHeight="1"/>
    <row r="140" ht="18" hidden="1" customHeight="1"/>
    <row r="141" ht="18" hidden="1" customHeight="1"/>
    <row r="142" ht="18" hidden="1" customHeight="1"/>
    <row r="143" ht="18" hidden="1" customHeight="1"/>
    <row r="144" ht="18" hidden="1" customHeight="1"/>
    <row r="145" ht="18" hidden="1" customHeight="1"/>
    <row r="146" ht="18" hidden="1" customHeight="1"/>
    <row r="147" ht="18" hidden="1" customHeight="1"/>
    <row r="148" ht="18" hidden="1" customHeight="1"/>
    <row r="149" ht="18" hidden="1" customHeight="1"/>
    <row r="150" ht="18" hidden="1" customHeight="1"/>
    <row r="151" ht="18" hidden="1" customHeight="1"/>
    <row r="152" ht="18" hidden="1" customHeight="1"/>
    <row r="153" ht="18" hidden="1" customHeight="1"/>
    <row r="154" ht="18" hidden="1" customHeight="1"/>
    <row r="155" ht="18" hidden="1" customHeight="1"/>
    <row r="156" ht="18" hidden="1" customHeight="1"/>
    <row r="157" ht="18" hidden="1" customHeight="1"/>
    <row r="158" ht="18" hidden="1" customHeight="1"/>
    <row r="159" ht="18" hidden="1" customHeight="1"/>
    <row r="160" ht="18" hidden="1" customHeight="1"/>
    <row r="161" ht="18" hidden="1" customHeight="1"/>
    <row r="162" ht="18" hidden="1" customHeight="1"/>
    <row r="163" ht="18" hidden="1" customHeight="1"/>
    <row r="164" ht="18" hidden="1" customHeight="1"/>
    <row r="165" ht="18" hidden="1" customHeight="1"/>
    <row r="166" ht="18" hidden="1" customHeight="1"/>
    <row r="167" ht="18" hidden="1" customHeight="1"/>
    <row r="168" ht="18" hidden="1" customHeight="1"/>
    <row r="169" ht="18" hidden="1" customHeight="1"/>
    <row r="170" ht="18" hidden="1" customHeight="1"/>
    <row r="171" ht="18" hidden="1" customHeight="1"/>
    <row r="172" ht="18" hidden="1" customHeight="1"/>
    <row r="173" ht="18" hidden="1" customHeight="1"/>
    <row r="174" ht="18" hidden="1" customHeight="1"/>
    <row r="175" ht="18" hidden="1" customHeight="1"/>
    <row r="176" ht="18" hidden="1" customHeight="1"/>
    <row r="177" ht="18" hidden="1" customHeight="1"/>
    <row r="178" ht="18" hidden="1" customHeight="1"/>
    <row r="179" ht="18" hidden="1" customHeight="1"/>
    <row r="180" ht="18" hidden="1" customHeight="1"/>
    <row r="181" ht="18" hidden="1" customHeight="1"/>
    <row r="182" ht="18" hidden="1" customHeight="1"/>
    <row r="183" ht="18" hidden="1" customHeight="1"/>
    <row r="184" ht="18" hidden="1" customHeight="1"/>
    <row r="185" ht="18" hidden="1" customHeight="1"/>
    <row r="186" ht="18" hidden="1" customHeight="1"/>
    <row r="187" ht="18" hidden="1" customHeight="1"/>
    <row r="188" ht="18" hidden="1" customHeight="1"/>
    <row r="189" ht="18" hidden="1" customHeight="1"/>
    <row r="190" ht="18" hidden="1" customHeight="1"/>
    <row r="191" ht="18" hidden="1" customHeight="1"/>
    <row r="192" ht="18" hidden="1" customHeight="1"/>
    <row r="193" ht="18" hidden="1" customHeight="1"/>
    <row r="194" ht="18" hidden="1" customHeight="1"/>
    <row r="195" ht="18" hidden="1" customHeight="1"/>
    <row r="196" ht="18" hidden="1" customHeight="1"/>
    <row r="197" ht="18" hidden="1" customHeight="1"/>
    <row r="198" ht="18" hidden="1" customHeight="1"/>
    <row r="199" ht="18" hidden="1" customHeight="1"/>
    <row r="200" ht="12.75" customHeight="1"/>
  </sheetData>
  <mergeCells count="89">
    <mergeCell ref="E10:G10"/>
    <mergeCell ref="E11:G11"/>
    <mergeCell ref="L11:N11"/>
    <mergeCell ref="L17:N17"/>
    <mergeCell ref="L16:N16"/>
    <mergeCell ref="L15:N15"/>
    <mergeCell ref="E17:G17"/>
    <mergeCell ref="L10:N10"/>
    <mergeCell ref="E16:G16"/>
    <mergeCell ref="E15:G15"/>
    <mergeCell ref="E2:L3"/>
    <mergeCell ref="L19:N19"/>
    <mergeCell ref="E20:G20"/>
    <mergeCell ref="L20:N20"/>
    <mergeCell ref="E18:G18"/>
    <mergeCell ref="L18:N18"/>
    <mergeCell ref="C5:E5"/>
    <mergeCell ref="G5:J5"/>
    <mergeCell ref="B9:G9"/>
    <mergeCell ref="I9:N9"/>
    <mergeCell ref="M5:N5"/>
    <mergeCell ref="C7:E7"/>
    <mergeCell ref="G7:J7"/>
    <mergeCell ref="M7:N7"/>
    <mergeCell ref="B12:C14"/>
    <mergeCell ref="I12:J14"/>
    <mergeCell ref="L21:N21"/>
    <mergeCell ref="E22:G22"/>
    <mergeCell ref="L22:N22"/>
    <mergeCell ref="E23:G23"/>
    <mergeCell ref="L23:N23"/>
    <mergeCell ref="L28:N28"/>
    <mergeCell ref="L29:N29"/>
    <mergeCell ref="L24:N24"/>
    <mergeCell ref="L25:N25"/>
    <mergeCell ref="C26:F26"/>
    <mergeCell ref="L26:N26"/>
    <mergeCell ref="C27:D27"/>
    <mergeCell ref="E27:F27"/>
    <mergeCell ref="L27:N27"/>
    <mergeCell ref="L30:N30"/>
    <mergeCell ref="L31:N31"/>
    <mergeCell ref="L32:N32"/>
    <mergeCell ref="B33:C34"/>
    <mergeCell ref="D33:F34"/>
    <mergeCell ref="H33:I33"/>
    <mergeCell ref="H34:I34"/>
    <mergeCell ref="L36:N36"/>
    <mergeCell ref="C37:D37"/>
    <mergeCell ref="E37:F37"/>
    <mergeCell ref="G37:H37"/>
    <mergeCell ref="I37:J37"/>
    <mergeCell ref="K37:L37"/>
    <mergeCell ref="M37:N37"/>
    <mergeCell ref="K39:L39"/>
    <mergeCell ref="C38:D38"/>
    <mergeCell ref="E38:F38"/>
    <mergeCell ref="G38:H38"/>
    <mergeCell ref="I38:J38"/>
    <mergeCell ref="K38:L38"/>
    <mergeCell ref="L53:N53"/>
    <mergeCell ref="C40:D40"/>
    <mergeCell ref="L54:N54"/>
    <mergeCell ref="J35:N35"/>
    <mergeCell ref="J33:N33"/>
    <mergeCell ref="J34:N34"/>
    <mergeCell ref="K43:N43"/>
    <mergeCell ref="K44:N44"/>
    <mergeCell ref="K45:N45"/>
    <mergeCell ref="M39:N39"/>
    <mergeCell ref="M38:N38"/>
    <mergeCell ref="E40:F40"/>
    <mergeCell ref="G40:H40"/>
    <mergeCell ref="I40:J40"/>
    <mergeCell ref="K40:L40"/>
    <mergeCell ref="M40:N40"/>
    <mergeCell ref="B47:G47"/>
    <mergeCell ref="B49:G51"/>
    <mergeCell ref="G53:J53"/>
    <mergeCell ref="C39:D39"/>
    <mergeCell ref="E39:F39"/>
    <mergeCell ref="G39:H39"/>
    <mergeCell ref="I39:J39"/>
    <mergeCell ref="H35:I35"/>
    <mergeCell ref="C28:F30"/>
    <mergeCell ref="E21:G21"/>
    <mergeCell ref="E19:G19"/>
    <mergeCell ref="B15:C17"/>
    <mergeCell ref="I15:J17"/>
  </mergeCells>
  <dataValidations disablePrompts="1" count="1">
    <dataValidation type="list" allowBlank="1" showInputMessage="1" showErrorMessage="1" sqref="E53" xr:uid="{00000000-0002-0000-0C00-000000000000}">
      <formula1>"YES, NO"</formula1>
    </dataValidation>
  </dataValidations>
  <printOptions horizontalCentered="1"/>
  <pageMargins left="3.937007874015748E-2" right="3.937007874015748E-2" top="0.39370078740157483" bottom="0.39370078740157483" header="0.23622047244094491" footer="0.23622047244094491"/>
  <pageSetup paperSize="9" scale="74" fitToHeight="0"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dimension ref="B1:AD52"/>
  <sheetViews>
    <sheetView workbookViewId="0"/>
  </sheetViews>
  <sheetFormatPr baseColWidth="10" defaultColWidth="0" defaultRowHeight="0" customHeight="1" zeroHeight="1"/>
  <cols>
    <col min="1" max="1" width="1.28515625" style="74" customWidth="1"/>
    <col min="2" max="3" width="4.28515625" style="74" customWidth="1"/>
    <col min="4" max="7" width="3.7109375" style="74" customWidth="1"/>
    <col min="8" max="8" width="3.85546875" style="74" customWidth="1"/>
    <col min="9" max="13" width="3.7109375" style="74" customWidth="1"/>
    <col min="14" max="14" width="11" style="74" customWidth="1"/>
    <col min="15" max="28" width="3.7109375" style="74" customWidth="1"/>
    <col min="29" max="29" width="1.28515625" style="74" customWidth="1"/>
    <col min="30" max="30" width="3.7109375" style="74" hidden="1" customWidth="1"/>
    <col min="31" max="16384" width="0" style="74" hidden="1"/>
  </cols>
  <sheetData>
    <row r="1" spans="2:28" ht="9" customHeight="1" thickBot="1"/>
    <row r="2" spans="2:28" ht="19.5" customHeight="1">
      <c r="B2" s="782"/>
      <c r="C2" s="75"/>
      <c r="D2" s="75"/>
      <c r="E2" s="75"/>
      <c r="F2" s="76"/>
      <c r="G2" s="784" t="s">
        <v>103</v>
      </c>
      <c r="H2" s="784"/>
      <c r="I2" s="784"/>
      <c r="J2" s="784"/>
      <c r="K2" s="784"/>
      <c r="L2" s="784"/>
      <c r="M2" s="784"/>
      <c r="N2" s="784"/>
      <c r="O2" s="784"/>
      <c r="P2" s="784"/>
      <c r="Q2" s="784"/>
      <c r="R2" s="784"/>
      <c r="S2" s="784"/>
      <c r="T2" s="784"/>
      <c r="U2" s="784"/>
      <c r="V2" s="785"/>
      <c r="W2" s="788" t="s">
        <v>104</v>
      </c>
      <c r="X2" s="788"/>
      <c r="Y2" s="788"/>
      <c r="Z2" s="789" t="s">
        <v>2</v>
      </c>
      <c r="AA2" s="789"/>
      <c r="AB2" s="790"/>
    </row>
    <row r="3" spans="2:28" ht="18" customHeight="1" thickBot="1">
      <c r="B3" s="783"/>
      <c r="C3" s="77"/>
      <c r="D3" s="77"/>
      <c r="E3" s="77"/>
      <c r="F3" s="77"/>
      <c r="G3" s="786"/>
      <c r="H3" s="786"/>
      <c r="I3" s="786"/>
      <c r="J3" s="786"/>
      <c r="K3" s="786"/>
      <c r="L3" s="786"/>
      <c r="M3" s="786"/>
      <c r="N3" s="786"/>
      <c r="O3" s="786"/>
      <c r="P3" s="786"/>
      <c r="Q3" s="786"/>
      <c r="R3" s="786"/>
      <c r="S3" s="786"/>
      <c r="T3" s="786"/>
      <c r="U3" s="786"/>
      <c r="V3" s="787"/>
      <c r="W3" s="791" t="s">
        <v>3</v>
      </c>
      <c r="X3" s="791"/>
      <c r="Y3" s="791"/>
      <c r="Z3" s="792">
        <v>42917</v>
      </c>
      <c r="AA3" s="792"/>
      <c r="AB3" s="793"/>
    </row>
    <row r="4" spans="2:28" ht="12.75">
      <c r="B4" s="78"/>
      <c r="C4" s="79"/>
      <c r="D4" s="79"/>
      <c r="E4" s="79"/>
      <c r="F4" s="79"/>
      <c r="G4" s="79"/>
      <c r="H4" s="79"/>
      <c r="I4" s="79"/>
      <c r="J4" s="79"/>
      <c r="K4" s="79"/>
      <c r="L4" s="79"/>
      <c r="M4" s="79"/>
      <c r="N4" s="79"/>
      <c r="O4" s="79"/>
      <c r="P4" s="79"/>
      <c r="Q4" s="79"/>
      <c r="R4" s="79"/>
      <c r="S4" s="79"/>
      <c r="T4" s="79"/>
      <c r="U4" s="79"/>
      <c r="V4" s="79"/>
      <c r="W4" s="79"/>
      <c r="X4" s="79"/>
      <c r="Y4" s="79"/>
      <c r="Z4" s="79"/>
      <c r="AA4" s="79"/>
      <c r="AB4" s="80"/>
    </row>
    <row r="5" spans="2:28" ht="20.25" customHeight="1">
      <c r="B5" s="68"/>
      <c r="C5" s="81" t="s">
        <v>97</v>
      </c>
      <c r="D5" s="802" t="s">
        <v>6</v>
      </c>
      <c r="E5" s="802"/>
      <c r="F5" s="802"/>
      <c r="G5" s="802"/>
      <c r="H5" s="802"/>
      <c r="I5" s="802"/>
      <c r="J5" s="802"/>
      <c r="K5" s="82"/>
      <c r="L5" s="81" t="s">
        <v>96</v>
      </c>
      <c r="M5" s="802">
        <f>'Data Entry'!B13</f>
        <v>0</v>
      </c>
      <c r="N5" s="802"/>
      <c r="O5" s="802"/>
      <c r="P5" s="802"/>
      <c r="Q5" s="802"/>
      <c r="R5" s="802"/>
      <c r="S5" s="802"/>
      <c r="T5" s="83"/>
      <c r="U5" s="66"/>
      <c r="V5" s="81" t="s">
        <v>90</v>
      </c>
      <c r="W5" s="803">
        <f>'Data Entry'!B19</f>
        <v>0</v>
      </c>
      <c r="X5" s="803"/>
      <c r="Y5" s="803"/>
      <c r="Z5" s="803"/>
      <c r="AA5" s="803"/>
      <c r="AB5" s="804"/>
    </row>
    <row r="6" spans="2:28" ht="20.25" customHeight="1">
      <c r="B6" s="78"/>
      <c r="C6" s="81"/>
      <c r="D6" s="81"/>
      <c r="E6" s="79"/>
      <c r="F6" s="79"/>
      <c r="G6" s="82"/>
      <c r="H6" s="81" t="s">
        <v>105</v>
      </c>
      <c r="I6" s="805">
        <v>43009.1875</v>
      </c>
      <c r="J6" s="806"/>
      <c r="K6" s="806"/>
      <c r="L6" s="806"/>
      <c r="M6" s="806"/>
      <c r="N6" s="84"/>
      <c r="O6" s="79"/>
      <c r="P6" s="79"/>
      <c r="Q6" s="81"/>
      <c r="R6" s="79"/>
      <c r="S6" s="82"/>
      <c r="T6" s="83"/>
      <c r="U6" s="79"/>
      <c r="V6" s="79"/>
      <c r="W6" s="81" t="s">
        <v>106</v>
      </c>
      <c r="X6" s="807">
        <v>43009.904166666667</v>
      </c>
      <c r="Y6" s="808"/>
      <c r="Z6" s="808"/>
      <c r="AA6" s="808"/>
      <c r="AB6" s="809"/>
    </row>
    <row r="7" spans="2:28" ht="20.25" customHeight="1">
      <c r="B7" s="78"/>
      <c r="C7" s="79"/>
      <c r="D7" s="79"/>
      <c r="E7" s="81" t="s">
        <v>107</v>
      </c>
      <c r="F7" s="810">
        <v>1</v>
      </c>
      <c r="G7" s="810"/>
      <c r="H7" s="79"/>
      <c r="I7" s="82"/>
      <c r="J7" s="79"/>
      <c r="K7" s="81" t="s">
        <v>108</v>
      </c>
      <c r="L7" s="808" t="s">
        <v>216</v>
      </c>
      <c r="M7" s="808"/>
      <c r="N7" s="85"/>
      <c r="O7" s="79"/>
      <c r="P7" s="82"/>
      <c r="Q7" s="79"/>
      <c r="R7" s="79"/>
      <c r="S7" s="81" t="s">
        <v>109</v>
      </c>
      <c r="T7" s="811" t="s">
        <v>192</v>
      </c>
      <c r="U7" s="811"/>
      <c r="V7" s="79"/>
      <c r="W7" s="79"/>
      <c r="X7" s="79"/>
      <c r="Y7" s="79"/>
      <c r="Z7" s="81" t="s">
        <v>110</v>
      </c>
      <c r="AA7" s="808" t="s">
        <v>220</v>
      </c>
      <c r="AB7" s="809"/>
    </row>
    <row r="8" spans="2:28" ht="20.25" customHeight="1">
      <c r="B8" s="78"/>
      <c r="C8" s="81"/>
      <c r="D8" s="81"/>
      <c r="E8" s="81"/>
      <c r="F8" s="79"/>
      <c r="G8" s="79"/>
      <c r="H8" s="81" t="s">
        <v>111</v>
      </c>
      <c r="I8" s="794">
        <v>43011.012499999997</v>
      </c>
      <c r="J8" s="794"/>
      <c r="K8" s="794"/>
      <c r="L8" s="794"/>
      <c r="M8" s="794"/>
      <c r="N8" s="84"/>
      <c r="O8" s="81"/>
      <c r="P8" s="81"/>
      <c r="Q8" s="81"/>
      <c r="R8" s="81"/>
      <c r="S8" s="79"/>
      <c r="T8" s="83"/>
      <c r="U8" s="79"/>
      <c r="V8" s="79"/>
      <c r="W8" s="81" t="s">
        <v>112</v>
      </c>
      <c r="X8" s="795">
        <v>43011.020833333336</v>
      </c>
      <c r="Y8" s="795"/>
      <c r="Z8" s="795"/>
      <c r="AA8" s="795"/>
      <c r="AB8" s="796"/>
    </row>
    <row r="9" spans="2:28" ht="20.25" customHeight="1">
      <c r="B9" s="78"/>
      <c r="C9" s="81"/>
      <c r="D9" s="81"/>
      <c r="E9" s="81"/>
      <c r="F9" s="81"/>
      <c r="G9" s="81"/>
      <c r="H9" s="81"/>
      <c r="I9" s="79"/>
      <c r="J9" s="81"/>
      <c r="K9" s="79"/>
      <c r="L9" s="79"/>
      <c r="M9" s="82"/>
      <c r="N9" s="82"/>
      <c r="O9" s="79"/>
      <c r="P9" s="81" t="s">
        <v>237</v>
      </c>
      <c r="Q9" s="797" t="s">
        <v>232</v>
      </c>
      <c r="R9" s="797"/>
      <c r="S9" s="797"/>
      <c r="T9" s="797"/>
      <c r="U9" s="797"/>
      <c r="V9" s="797"/>
      <c r="W9" s="797"/>
      <c r="X9" s="797"/>
      <c r="Y9" s="797"/>
      <c r="Z9" s="797"/>
      <c r="AA9" s="797"/>
      <c r="AB9" s="798"/>
    </row>
    <row r="10" spans="2:28" ht="20.25" customHeight="1">
      <c r="B10" s="78"/>
      <c r="C10" s="81"/>
      <c r="D10" s="81"/>
      <c r="E10" s="81"/>
      <c r="F10" s="81"/>
      <c r="G10" s="81"/>
      <c r="H10" s="81"/>
      <c r="I10" s="81"/>
      <c r="J10" s="81"/>
      <c r="K10" s="79"/>
      <c r="L10" s="79"/>
      <c r="M10" s="82"/>
      <c r="N10" s="82"/>
      <c r="O10" s="79"/>
      <c r="P10" s="81" t="s">
        <v>238</v>
      </c>
      <c r="Q10" s="797" t="s">
        <v>217</v>
      </c>
      <c r="R10" s="797"/>
      <c r="S10" s="797"/>
      <c r="T10" s="797"/>
      <c r="U10" s="797"/>
      <c r="V10" s="797"/>
      <c r="W10" s="797"/>
      <c r="X10" s="797"/>
      <c r="Y10" s="797"/>
      <c r="Z10" s="797"/>
      <c r="AA10" s="797"/>
      <c r="AB10" s="798"/>
    </row>
    <row r="11" spans="2:28" ht="20.25" customHeight="1">
      <c r="B11" s="78"/>
      <c r="C11" s="81"/>
      <c r="D11" s="81"/>
      <c r="E11" s="81"/>
      <c r="F11" s="81"/>
      <c r="G11" s="81"/>
      <c r="H11" s="81"/>
      <c r="I11" s="81"/>
      <c r="J11" s="81"/>
      <c r="K11" s="79"/>
      <c r="L11" s="79"/>
      <c r="M11" s="82"/>
      <c r="N11" s="82"/>
      <c r="O11" s="79"/>
      <c r="P11" s="81" t="s">
        <v>113</v>
      </c>
      <c r="Q11" s="797"/>
      <c r="R11" s="797"/>
      <c r="S11" s="797"/>
      <c r="T11" s="797"/>
      <c r="U11" s="797"/>
      <c r="V11" s="797"/>
      <c r="W11" s="797"/>
      <c r="X11" s="797"/>
      <c r="Y11" s="797"/>
      <c r="Z11" s="797"/>
      <c r="AA11" s="797"/>
      <c r="AB11" s="798"/>
    </row>
    <row r="12" spans="2:28" ht="15.75" customHeight="1">
      <c r="B12" s="78"/>
      <c r="C12" s="81"/>
      <c r="D12" s="81"/>
      <c r="E12" s="81"/>
      <c r="F12" s="81"/>
      <c r="G12" s="81"/>
      <c r="H12" s="81"/>
      <c r="I12" s="81"/>
      <c r="J12" s="81"/>
      <c r="K12" s="79"/>
      <c r="L12" s="81"/>
      <c r="M12" s="82"/>
      <c r="N12" s="82"/>
      <c r="O12" s="82"/>
      <c r="P12" s="82"/>
      <c r="Q12" s="82"/>
      <c r="R12" s="82"/>
      <c r="S12" s="82"/>
      <c r="T12" s="83"/>
      <c r="U12" s="79"/>
      <c r="V12" s="79"/>
      <c r="W12" s="79"/>
      <c r="X12" s="79"/>
      <c r="Y12" s="79"/>
      <c r="Z12" s="79"/>
      <c r="AA12" s="79"/>
      <c r="AB12" s="80"/>
    </row>
    <row r="13" spans="2:28" ht="15">
      <c r="B13" s="799" t="s">
        <v>114</v>
      </c>
      <c r="C13" s="800"/>
      <c r="D13" s="800"/>
      <c r="E13" s="800"/>
      <c r="F13" s="800"/>
      <c r="G13" s="800"/>
      <c r="H13" s="800"/>
      <c r="I13" s="800"/>
      <c r="J13" s="800"/>
      <c r="K13" s="800"/>
      <c r="L13" s="800"/>
      <c r="M13" s="800"/>
      <c r="N13" s="800"/>
      <c r="O13" s="800"/>
      <c r="P13" s="800"/>
      <c r="Q13" s="800"/>
      <c r="R13" s="800"/>
      <c r="S13" s="800"/>
      <c r="T13" s="800"/>
      <c r="U13" s="800"/>
      <c r="V13" s="800"/>
      <c r="W13" s="800"/>
      <c r="X13" s="800"/>
      <c r="Y13" s="800"/>
      <c r="Z13" s="800"/>
      <c r="AA13" s="800"/>
      <c r="AB13" s="801"/>
    </row>
    <row r="14" spans="2:28" ht="6.75" customHeight="1">
      <c r="B14" s="86"/>
      <c r="C14" s="79"/>
      <c r="D14" s="79"/>
      <c r="E14" s="79"/>
      <c r="F14" s="79"/>
      <c r="G14" s="79"/>
      <c r="H14" s="79"/>
      <c r="I14" s="79"/>
      <c r="J14" s="79"/>
      <c r="K14" s="79"/>
      <c r="L14" s="79"/>
      <c r="M14" s="79"/>
      <c r="N14" s="79"/>
      <c r="O14" s="79"/>
      <c r="P14" s="79"/>
      <c r="Q14" s="79"/>
      <c r="R14" s="79"/>
      <c r="S14" s="79"/>
      <c r="T14" s="79"/>
      <c r="U14" s="79"/>
      <c r="V14" s="79"/>
      <c r="W14" s="79"/>
      <c r="X14" s="79"/>
      <c r="Y14" s="79"/>
      <c r="Z14" s="79"/>
      <c r="AA14" s="79"/>
      <c r="AB14" s="80"/>
    </row>
    <row r="15" spans="2:28" ht="15">
      <c r="B15" s="826" t="s">
        <v>39</v>
      </c>
      <c r="C15" s="827"/>
      <c r="D15" s="812" t="s">
        <v>115</v>
      </c>
      <c r="E15" s="812"/>
      <c r="F15" s="812"/>
      <c r="G15" s="812"/>
      <c r="H15" s="812"/>
      <c r="I15" s="812"/>
      <c r="J15" s="812"/>
      <c r="K15" s="812"/>
      <c r="L15" s="812"/>
      <c r="M15" s="812"/>
      <c r="N15" s="829" t="s">
        <v>116</v>
      </c>
      <c r="O15" s="812" t="s">
        <v>117</v>
      </c>
      <c r="P15" s="812"/>
      <c r="Q15" s="812"/>
      <c r="R15" s="812"/>
      <c r="S15" s="813" t="s">
        <v>118</v>
      </c>
      <c r="T15" s="814"/>
      <c r="U15" s="814"/>
      <c r="V15" s="814"/>
      <c r="W15" s="814"/>
      <c r="X15" s="814"/>
      <c r="Y15" s="814"/>
      <c r="Z15" s="815"/>
      <c r="AA15" s="822" t="s">
        <v>119</v>
      </c>
      <c r="AB15" s="823"/>
    </row>
    <row r="16" spans="2:28" ht="15">
      <c r="B16" s="824"/>
      <c r="C16" s="825"/>
      <c r="D16" s="812" t="s">
        <v>120</v>
      </c>
      <c r="E16" s="812"/>
      <c r="F16" s="812"/>
      <c r="G16" s="812"/>
      <c r="H16" s="812"/>
      <c r="I16" s="812"/>
      <c r="J16" s="812"/>
      <c r="K16" s="812"/>
      <c r="L16" s="812"/>
      <c r="M16" s="812"/>
      <c r="N16" s="830"/>
      <c r="O16" s="812" t="s">
        <v>121</v>
      </c>
      <c r="P16" s="812"/>
      <c r="Q16" s="812" t="s">
        <v>122</v>
      </c>
      <c r="R16" s="812"/>
      <c r="S16" s="816"/>
      <c r="T16" s="817"/>
      <c r="U16" s="817"/>
      <c r="V16" s="817"/>
      <c r="W16" s="817"/>
      <c r="X16" s="817"/>
      <c r="Y16" s="817"/>
      <c r="Z16" s="818"/>
      <c r="AA16" s="822"/>
      <c r="AB16" s="823"/>
    </row>
    <row r="17" spans="2:28" ht="15">
      <c r="B17" s="826" t="s">
        <v>123</v>
      </c>
      <c r="C17" s="827"/>
      <c r="D17" s="828"/>
      <c r="E17" s="828"/>
      <c r="F17" s="828" t="s">
        <v>233</v>
      </c>
      <c r="G17" s="828"/>
      <c r="H17" s="828"/>
      <c r="I17" s="828"/>
      <c r="J17" s="828"/>
      <c r="K17" s="828"/>
      <c r="L17" s="828"/>
      <c r="M17" s="828"/>
      <c r="N17" s="87"/>
      <c r="O17" s="812" t="s">
        <v>124</v>
      </c>
      <c r="P17" s="812"/>
      <c r="Q17" s="812" t="s">
        <v>124</v>
      </c>
      <c r="R17" s="812"/>
      <c r="S17" s="819"/>
      <c r="T17" s="820"/>
      <c r="U17" s="820"/>
      <c r="V17" s="820"/>
      <c r="W17" s="820"/>
      <c r="X17" s="820"/>
      <c r="Y17" s="820"/>
      <c r="Z17" s="821"/>
      <c r="AA17" s="822"/>
      <c r="AB17" s="823"/>
    </row>
    <row r="18" spans="2:28" ht="20.25" customHeight="1">
      <c r="B18" s="837">
        <v>0.90416666666666667</v>
      </c>
      <c r="C18" s="838"/>
      <c r="D18" s="831"/>
      <c r="E18" s="831"/>
      <c r="F18" s="831">
        <v>0</v>
      </c>
      <c r="G18" s="831"/>
      <c r="H18" s="831"/>
      <c r="I18" s="831"/>
      <c r="J18" s="831"/>
      <c r="K18" s="831"/>
      <c r="L18" s="831"/>
      <c r="M18" s="831"/>
      <c r="N18" s="88"/>
      <c r="O18" s="831">
        <v>23</v>
      </c>
      <c r="P18" s="831"/>
      <c r="Q18" s="831">
        <v>22</v>
      </c>
      <c r="R18" s="831"/>
      <c r="S18" s="831" t="s">
        <v>231</v>
      </c>
      <c r="T18" s="831"/>
      <c r="U18" s="831"/>
      <c r="V18" s="831"/>
      <c r="W18" s="831"/>
      <c r="X18" s="831"/>
      <c r="Y18" s="831"/>
      <c r="Z18" s="831"/>
      <c r="AA18" s="831" t="s">
        <v>194</v>
      </c>
      <c r="AB18" s="832"/>
    </row>
    <row r="19" spans="2:28" ht="20.25" customHeight="1">
      <c r="B19" s="833">
        <v>0.91666666666666663</v>
      </c>
      <c r="C19" s="834"/>
      <c r="D19" s="835"/>
      <c r="E19" s="836"/>
      <c r="F19" s="835">
        <v>0</v>
      </c>
      <c r="G19" s="836"/>
      <c r="H19" s="835"/>
      <c r="I19" s="836"/>
      <c r="J19" s="835"/>
      <c r="K19" s="836"/>
      <c r="L19" s="835"/>
      <c r="M19" s="836"/>
      <c r="N19" s="88">
        <v>0</v>
      </c>
      <c r="O19" s="835">
        <v>23</v>
      </c>
      <c r="P19" s="836"/>
      <c r="Q19" s="835">
        <v>22</v>
      </c>
      <c r="R19" s="836"/>
      <c r="S19" s="835"/>
      <c r="T19" s="808"/>
      <c r="U19" s="808"/>
      <c r="V19" s="808"/>
      <c r="W19" s="808"/>
      <c r="X19" s="808"/>
      <c r="Y19" s="808"/>
      <c r="Z19" s="836"/>
      <c r="AA19" s="835" t="s">
        <v>194</v>
      </c>
      <c r="AB19" s="809"/>
    </row>
    <row r="20" spans="2:28" ht="20.25" customHeight="1">
      <c r="B20" s="833">
        <v>0.95833333333333337</v>
      </c>
      <c r="C20" s="834"/>
      <c r="D20" s="835"/>
      <c r="E20" s="836"/>
      <c r="F20" s="835">
        <v>0</v>
      </c>
      <c r="G20" s="836"/>
      <c r="H20" s="835"/>
      <c r="I20" s="836"/>
      <c r="J20" s="835"/>
      <c r="K20" s="836"/>
      <c r="L20" s="835"/>
      <c r="M20" s="836"/>
      <c r="N20" s="88">
        <v>134</v>
      </c>
      <c r="O20" s="835">
        <v>22</v>
      </c>
      <c r="P20" s="836"/>
      <c r="Q20" s="835">
        <v>22</v>
      </c>
      <c r="R20" s="836"/>
      <c r="S20" s="835"/>
      <c r="T20" s="808"/>
      <c r="U20" s="808"/>
      <c r="V20" s="808"/>
      <c r="W20" s="808"/>
      <c r="X20" s="808"/>
      <c r="Y20" s="808"/>
      <c r="Z20" s="836"/>
      <c r="AA20" s="835" t="s">
        <v>194</v>
      </c>
      <c r="AB20" s="809"/>
    </row>
    <row r="21" spans="2:28" ht="20.25" customHeight="1">
      <c r="B21" s="833">
        <v>1</v>
      </c>
      <c r="C21" s="834"/>
      <c r="D21" s="835"/>
      <c r="E21" s="836"/>
      <c r="F21" s="835">
        <v>0</v>
      </c>
      <c r="G21" s="836"/>
      <c r="H21" s="835"/>
      <c r="I21" s="836"/>
      <c r="J21" s="835"/>
      <c r="K21" s="836"/>
      <c r="L21" s="835"/>
      <c r="M21" s="836"/>
      <c r="N21" s="88">
        <v>461</v>
      </c>
      <c r="O21" s="835">
        <v>22</v>
      </c>
      <c r="P21" s="836"/>
      <c r="Q21" s="835">
        <v>22</v>
      </c>
      <c r="R21" s="836"/>
      <c r="S21" s="835"/>
      <c r="T21" s="808"/>
      <c r="U21" s="808"/>
      <c r="V21" s="808"/>
      <c r="W21" s="808"/>
      <c r="X21" s="808"/>
      <c r="Y21" s="808"/>
      <c r="Z21" s="836"/>
      <c r="AA21" s="835" t="s">
        <v>194</v>
      </c>
      <c r="AB21" s="809"/>
    </row>
    <row r="22" spans="2:28" ht="20.25" customHeight="1">
      <c r="B22" s="833">
        <v>4.1666666666666664E-2</v>
      </c>
      <c r="C22" s="834"/>
      <c r="D22" s="835"/>
      <c r="E22" s="836"/>
      <c r="F22" s="835">
        <v>0</v>
      </c>
      <c r="G22" s="836"/>
      <c r="H22" s="835"/>
      <c r="I22" s="836"/>
      <c r="J22" s="835"/>
      <c r="K22" s="836"/>
      <c r="L22" s="835"/>
      <c r="M22" s="836"/>
      <c r="N22" s="88">
        <v>435</v>
      </c>
      <c r="O22" s="835">
        <v>22</v>
      </c>
      <c r="P22" s="836"/>
      <c r="Q22" s="835">
        <v>23</v>
      </c>
      <c r="R22" s="836"/>
      <c r="S22" s="835"/>
      <c r="T22" s="808"/>
      <c r="U22" s="808"/>
      <c r="V22" s="808"/>
      <c r="W22" s="808"/>
      <c r="X22" s="808"/>
      <c r="Y22" s="808"/>
      <c r="Z22" s="836"/>
      <c r="AA22" s="835" t="s">
        <v>195</v>
      </c>
      <c r="AB22" s="809"/>
    </row>
    <row r="23" spans="2:28" ht="20.25" customHeight="1">
      <c r="B23" s="833">
        <v>8.3333333333329901E-2</v>
      </c>
      <c r="C23" s="834"/>
      <c r="D23" s="835"/>
      <c r="E23" s="836"/>
      <c r="F23" s="835">
        <v>0</v>
      </c>
      <c r="G23" s="836"/>
      <c r="H23" s="835"/>
      <c r="I23" s="836"/>
      <c r="J23" s="835"/>
      <c r="K23" s="836"/>
      <c r="L23" s="835"/>
      <c r="M23" s="836"/>
      <c r="N23" s="88">
        <v>454</v>
      </c>
      <c r="O23" s="835">
        <v>22</v>
      </c>
      <c r="P23" s="836"/>
      <c r="Q23" s="835">
        <v>23</v>
      </c>
      <c r="R23" s="836"/>
      <c r="S23" s="835"/>
      <c r="T23" s="808"/>
      <c r="U23" s="808"/>
      <c r="V23" s="808"/>
      <c r="W23" s="808"/>
      <c r="X23" s="808"/>
      <c r="Y23" s="808"/>
      <c r="Z23" s="836"/>
      <c r="AA23" s="835" t="s">
        <v>195</v>
      </c>
      <c r="AB23" s="809"/>
    </row>
    <row r="24" spans="2:28" ht="20.25" customHeight="1">
      <c r="B24" s="833">
        <v>0.125</v>
      </c>
      <c r="C24" s="834"/>
      <c r="D24" s="835"/>
      <c r="E24" s="836"/>
      <c r="F24" s="835">
        <v>0</v>
      </c>
      <c r="G24" s="836"/>
      <c r="H24" s="835"/>
      <c r="I24" s="836"/>
      <c r="J24" s="835"/>
      <c r="K24" s="836"/>
      <c r="L24" s="835"/>
      <c r="M24" s="836"/>
      <c r="N24" s="88">
        <v>446</v>
      </c>
      <c r="O24" s="835">
        <v>22</v>
      </c>
      <c r="P24" s="836"/>
      <c r="Q24" s="835">
        <v>23</v>
      </c>
      <c r="R24" s="836"/>
      <c r="S24" s="835"/>
      <c r="T24" s="808"/>
      <c r="U24" s="808"/>
      <c r="V24" s="808"/>
      <c r="W24" s="808"/>
      <c r="X24" s="808"/>
      <c r="Y24" s="808"/>
      <c r="Z24" s="836"/>
      <c r="AA24" s="835" t="s">
        <v>195</v>
      </c>
      <c r="AB24" s="809"/>
    </row>
    <row r="25" spans="2:28" ht="20.25" customHeight="1">
      <c r="B25" s="833">
        <v>0.16666666666666999</v>
      </c>
      <c r="C25" s="834"/>
      <c r="D25" s="835"/>
      <c r="E25" s="836"/>
      <c r="F25" s="835">
        <v>0</v>
      </c>
      <c r="G25" s="836"/>
      <c r="H25" s="835"/>
      <c r="I25" s="836"/>
      <c r="J25" s="835"/>
      <c r="K25" s="836"/>
      <c r="L25" s="835"/>
      <c r="M25" s="836"/>
      <c r="N25" s="88">
        <v>451</v>
      </c>
      <c r="O25" s="835">
        <v>22</v>
      </c>
      <c r="P25" s="836"/>
      <c r="Q25" s="835">
        <v>23</v>
      </c>
      <c r="R25" s="836"/>
      <c r="S25" s="835"/>
      <c r="T25" s="808"/>
      <c r="U25" s="808"/>
      <c r="V25" s="808"/>
      <c r="W25" s="808"/>
      <c r="X25" s="808"/>
      <c r="Y25" s="808"/>
      <c r="Z25" s="836"/>
      <c r="AA25" s="835" t="s">
        <v>195</v>
      </c>
      <c r="AB25" s="809"/>
    </row>
    <row r="26" spans="2:28" ht="20.25" customHeight="1">
      <c r="B26" s="833">
        <v>0.20833333333333001</v>
      </c>
      <c r="C26" s="834"/>
      <c r="D26" s="835"/>
      <c r="E26" s="836"/>
      <c r="F26" s="835">
        <v>0</v>
      </c>
      <c r="G26" s="836"/>
      <c r="H26" s="835"/>
      <c r="I26" s="836"/>
      <c r="J26" s="835"/>
      <c r="K26" s="836"/>
      <c r="L26" s="835"/>
      <c r="M26" s="836"/>
      <c r="N26" s="88">
        <v>452</v>
      </c>
      <c r="O26" s="835">
        <v>23</v>
      </c>
      <c r="P26" s="836"/>
      <c r="Q26" s="835">
        <v>23</v>
      </c>
      <c r="R26" s="836"/>
      <c r="S26" s="835"/>
      <c r="T26" s="808"/>
      <c r="U26" s="808"/>
      <c r="V26" s="808"/>
      <c r="W26" s="808"/>
      <c r="X26" s="808"/>
      <c r="Y26" s="808"/>
      <c r="Z26" s="836"/>
      <c r="AA26" s="835" t="s">
        <v>193</v>
      </c>
      <c r="AB26" s="809"/>
    </row>
    <row r="27" spans="2:28" ht="20.25" customHeight="1">
      <c r="B27" s="833">
        <v>0.25</v>
      </c>
      <c r="C27" s="834"/>
      <c r="D27" s="835"/>
      <c r="E27" s="836"/>
      <c r="F27" s="835">
        <v>0</v>
      </c>
      <c r="G27" s="836"/>
      <c r="H27" s="835"/>
      <c r="I27" s="836"/>
      <c r="J27" s="835"/>
      <c r="K27" s="836"/>
      <c r="L27" s="835"/>
      <c r="M27" s="836"/>
      <c r="N27" s="88">
        <v>464</v>
      </c>
      <c r="O27" s="835">
        <v>23</v>
      </c>
      <c r="P27" s="836"/>
      <c r="Q27" s="835">
        <v>23</v>
      </c>
      <c r="R27" s="836"/>
      <c r="S27" s="835"/>
      <c r="T27" s="808"/>
      <c r="U27" s="808"/>
      <c r="V27" s="808"/>
      <c r="W27" s="808"/>
      <c r="X27" s="808"/>
      <c r="Y27" s="808"/>
      <c r="Z27" s="836"/>
      <c r="AA27" s="835" t="s">
        <v>193</v>
      </c>
      <c r="AB27" s="809"/>
    </row>
    <row r="28" spans="2:28" ht="20.25" customHeight="1">
      <c r="B28" s="833">
        <v>0.29166666666667002</v>
      </c>
      <c r="C28" s="834"/>
      <c r="D28" s="835"/>
      <c r="E28" s="836"/>
      <c r="F28" s="835">
        <v>0</v>
      </c>
      <c r="G28" s="836"/>
      <c r="H28" s="835"/>
      <c r="I28" s="836"/>
      <c r="J28" s="835"/>
      <c r="K28" s="836"/>
      <c r="L28" s="835"/>
      <c r="M28" s="836"/>
      <c r="N28" s="88">
        <v>457</v>
      </c>
      <c r="O28" s="835">
        <v>24</v>
      </c>
      <c r="P28" s="836"/>
      <c r="Q28" s="835">
        <v>23</v>
      </c>
      <c r="R28" s="836"/>
      <c r="S28" s="835"/>
      <c r="T28" s="808"/>
      <c r="U28" s="808"/>
      <c r="V28" s="808"/>
      <c r="W28" s="808"/>
      <c r="X28" s="808"/>
      <c r="Y28" s="808"/>
      <c r="Z28" s="836"/>
      <c r="AA28" s="835" t="s">
        <v>193</v>
      </c>
      <c r="AB28" s="809"/>
    </row>
    <row r="29" spans="2:28" ht="20.25" customHeight="1">
      <c r="B29" s="833">
        <v>0.33333333333332998</v>
      </c>
      <c r="C29" s="834"/>
      <c r="D29" s="835"/>
      <c r="E29" s="836"/>
      <c r="F29" s="835">
        <v>0</v>
      </c>
      <c r="G29" s="836"/>
      <c r="H29" s="835"/>
      <c r="I29" s="836"/>
      <c r="J29" s="835"/>
      <c r="K29" s="836"/>
      <c r="L29" s="835"/>
      <c r="M29" s="836"/>
      <c r="N29" s="88">
        <v>477</v>
      </c>
      <c r="O29" s="835">
        <v>24</v>
      </c>
      <c r="P29" s="836"/>
      <c r="Q29" s="835">
        <v>23</v>
      </c>
      <c r="R29" s="836"/>
      <c r="S29" s="835"/>
      <c r="T29" s="808"/>
      <c r="U29" s="808"/>
      <c r="V29" s="808"/>
      <c r="W29" s="808"/>
      <c r="X29" s="808"/>
      <c r="Y29" s="808"/>
      <c r="Z29" s="836"/>
      <c r="AA29" s="835" t="s">
        <v>193</v>
      </c>
      <c r="AB29" s="809"/>
    </row>
    <row r="30" spans="2:28" ht="20.25" customHeight="1">
      <c r="B30" s="833">
        <v>0.375</v>
      </c>
      <c r="C30" s="834"/>
      <c r="D30" s="835"/>
      <c r="E30" s="836"/>
      <c r="F30" s="835">
        <v>0</v>
      </c>
      <c r="G30" s="836"/>
      <c r="H30" s="835"/>
      <c r="I30" s="836"/>
      <c r="J30" s="835"/>
      <c r="K30" s="836"/>
      <c r="L30" s="835"/>
      <c r="M30" s="836"/>
      <c r="N30" s="88">
        <v>475</v>
      </c>
      <c r="O30" s="835">
        <v>24</v>
      </c>
      <c r="P30" s="836"/>
      <c r="Q30" s="835">
        <v>23</v>
      </c>
      <c r="R30" s="836"/>
      <c r="S30" s="835"/>
      <c r="T30" s="808"/>
      <c r="U30" s="808"/>
      <c r="V30" s="808"/>
      <c r="W30" s="808"/>
      <c r="X30" s="808"/>
      <c r="Y30" s="808"/>
      <c r="Z30" s="836"/>
      <c r="AA30" s="835" t="s">
        <v>194</v>
      </c>
      <c r="AB30" s="809"/>
    </row>
    <row r="31" spans="2:28" ht="20.25" customHeight="1">
      <c r="B31" s="833">
        <v>0.41666666666667002</v>
      </c>
      <c r="C31" s="834"/>
      <c r="D31" s="835"/>
      <c r="E31" s="836"/>
      <c r="F31" s="835">
        <v>0</v>
      </c>
      <c r="G31" s="836"/>
      <c r="H31" s="835"/>
      <c r="I31" s="836"/>
      <c r="J31" s="835"/>
      <c r="K31" s="836"/>
      <c r="L31" s="835"/>
      <c r="M31" s="836"/>
      <c r="N31" s="88">
        <v>477</v>
      </c>
      <c r="O31" s="835">
        <v>24</v>
      </c>
      <c r="P31" s="836"/>
      <c r="Q31" s="835">
        <v>23</v>
      </c>
      <c r="R31" s="836"/>
      <c r="S31" s="835"/>
      <c r="T31" s="808"/>
      <c r="U31" s="808"/>
      <c r="V31" s="808"/>
      <c r="W31" s="808"/>
      <c r="X31" s="808"/>
      <c r="Y31" s="808"/>
      <c r="Z31" s="836"/>
      <c r="AA31" s="835" t="s">
        <v>194</v>
      </c>
      <c r="AB31" s="809"/>
    </row>
    <row r="32" spans="2:28" ht="20.25" customHeight="1">
      <c r="B32" s="833">
        <v>0.45833333333330001</v>
      </c>
      <c r="C32" s="834"/>
      <c r="D32" s="835"/>
      <c r="E32" s="836"/>
      <c r="F32" s="835">
        <v>0</v>
      </c>
      <c r="G32" s="836"/>
      <c r="H32" s="835"/>
      <c r="I32" s="836"/>
      <c r="J32" s="835"/>
      <c r="K32" s="836"/>
      <c r="L32" s="835"/>
      <c r="M32" s="836"/>
      <c r="N32" s="88">
        <v>479</v>
      </c>
      <c r="O32" s="835">
        <v>24</v>
      </c>
      <c r="P32" s="836"/>
      <c r="Q32" s="835">
        <v>24</v>
      </c>
      <c r="R32" s="836"/>
      <c r="S32" s="835"/>
      <c r="T32" s="808"/>
      <c r="U32" s="808"/>
      <c r="V32" s="808"/>
      <c r="W32" s="808"/>
      <c r="X32" s="808"/>
      <c r="Y32" s="808"/>
      <c r="Z32" s="836"/>
      <c r="AA32" s="835" t="s">
        <v>194</v>
      </c>
      <c r="AB32" s="809"/>
    </row>
    <row r="33" spans="2:28" ht="20.25" customHeight="1">
      <c r="B33" s="833">
        <v>0.5</v>
      </c>
      <c r="C33" s="834"/>
      <c r="D33" s="835"/>
      <c r="E33" s="836"/>
      <c r="F33" s="835">
        <v>0</v>
      </c>
      <c r="G33" s="836"/>
      <c r="H33" s="835"/>
      <c r="I33" s="836"/>
      <c r="J33" s="835"/>
      <c r="K33" s="836"/>
      <c r="L33" s="835"/>
      <c r="M33" s="836"/>
      <c r="N33" s="88">
        <v>484</v>
      </c>
      <c r="O33" s="835">
        <v>24</v>
      </c>
      <c r="P33" s="836"/>
      <c r="Q33" s="835">
        <v>25</v>
      </c>
      <c r="R33" s="836"/>
      <c r="S33" s="835"/>
      <c r="T33" s="808"/>
      <c r="U33" s="808"/>
      <c r="V33" s="808"/>
      <c r="W33" s="808"/>
      <c r="X33" s="808"/>
      <c r="Y33" s="808"/>
      <c r="Z33" s="836"/>
      <c r="AA33" s="835" t="s">
        <v>194</v>
      </c>
      <c r="AB33" s="809"/>
    </row>
    <row r="34" spans="2:28" ht="20.25" customHeight="1">
      <c r="B34" s="833">
        <v>0.54166666666670005</v>
      </c>
      <c r="C34" s="834"/>
      <c r="D34" s="835"/>
      <c r="E34" s="836"/>
      <c r="F34" s="835">
        <v>0</v>
      </c>
      <c r="G34" s="836"/>
      <c r="H34" s="835"/>
      <c r="I34" s="836"/>
      <c r="J34" s="835"/>
      <c r="K34" s="836"/>
      <c r="L34" s="835"/>
      <c r="M34" s="836"/>
      <c r="N34" s="88">
        <v>478</v>
      </c>
      <c r="O34" s="835">
        <v>24</v>
      </c>
      <c r="P34" s="836"/>
      <c r="Q34" s="835">
        <v>25</v>
      </c>
      <c r="R34" s="836"/>
      <c r="S34" s="835"/>
      <c r="T34" s="808"/>
      <c r="U34" s="808"/>
      <c r="V34" s="808"/>
      <c r="W34" s="808"/>
      <c r="X34" s="808"/>
      <c r="Y34" s="808"/>
      <c r="Z34" s="836"/>
      <c r="AA34" s="835" t="s">
        <v>195</v>
      </c>
      <c r="AB34" s="809"/>
    </row>
    <row r="35" spans="2:28" ht="20.25" customHeight="1">
      <c r="B35" s="833">
        <v>0.58333333333329995</v>
      </c>
      <c r="C35" s="834"/>
      <c r="D35" s="835"/>
      <c r="E35" s="836"/>
      <c r="F35" s="835">
        <v>0</v>
      </c>
      <c r="G35" s="836"/>
      <c r="H35" s="835"/>
      <c r="I35" s="836"/>
      <c r="J35" s="835"/>
      <c r="K35" s="836"/>
      <c r="L35" s="835"/>
      <c r="M35" s="836"/>
      <c r="N35" s="88">
        <v>479</v>
      </c>
      <c r="O35" s="835">
        <v>24</v>
      </c>
      <c r="P35" s="836"/>
      <c r="Q35" s="835">
        <v>25</v>
      </c>
      <c r="R35" s="836"/>
      <c r="S35" s="835"/>
      <c r="T35" s="808"/>
      <c r="U35" s="808"/>
      <c r="V35" s="808"/>
      <c r="W35" s="808"/>
      <c r="X35" s="808"/>
      <c r="Y35" s="808"/>
      <c r="Z35" s="836"/>
      <c r="AA35" s="835" t="s">
        <v>195</v>
      </c>
      <c r="AB35" s="809"/>
    </row>
    <row r="36" spans="2:28" ht="20.25" customHeight="1">
      <c r="B36" s="833">
        <v>0.625</v>
      </c>
      <c r="C36" s="834"/>
      <c r="D36" s="835"/>
      <c r="E36" s="836"/>
      <c r="F36" s="835">
        <v>0</v>
      </c>
      <c r="G36" s="836"/>
      <c r="H36" s="835"/>
      <c r="I36" s="836"/>
      <c r="J36" s="835"/>
      <c r="K36" s="836"/>
      <c r="L36" s="835"/>
      <c r="M36" s="836"/>
      <c r="N36" s="88">
        <v>470</v>
      </c>
      <c r="O36" s="835">
        <v>24</v>
      </c>
      <c r="P36" s="836"/>
      <c r="Q36" s="835">
        <v>25</v>
      </c>
      <c r="R36" s="836"/>
      <c r="S36" s="835"/>
      <c r="T36" s="808"/>
      <c r="U36" s="808"/>
      <c r="V36" s="808"/>
      <c r="W36" s="808"/>
      <c r="X36" s="808"/>
      <c r="Y36" s="808"/>
      <c r="Z36" s="836"/>
      <c r="AA36" s="835" t="s">
        <v>195</v>
      </c>
      <c r="AB36" s="809"/>
    </row>
    <row r="37" spans="2:28" ht="20.25" customHeight="1">
      <c r="B37" s="833">
        <v>0.66666666666670005</v>
      </c>
      <c r="C37" s="834"/>
      <c r="D37" s="835"/>
      <c r="E37" s="836"/>
      <c r="F37" s="835">
        <v>0</v>
      </c>
      <c r="G37" s="836"/>
      <c r="H37" s="835"/>
      <c r="I37" s="836"/>
      <c r="J37" s="835"/>
      <c r="K37" s="836"/>
      <c r="L37" s="835"/>
      <c r="M37" s="836"/>
      <c r="N37" s="88">
        <v>473</v>
      </c>
      <c r="O37" s="835">
        <v>24</v>
      </c>
      <c r="P37" s="836"/>
      <c r="Q37" s="835">
        <v>25</v>
      </c>
      <c r="R37" s="836"/>
      <c r="S37" s="835"/>
      <c r="T37" s="808"/>
      <c r="U37" s="808"/>
      <c r="V37" s="808"/>
      <c r="W37" s="808"/>
      <c r="X37" s="808"/>
      <c r="Y37" s="808"/>
      <c r="Z37" s="836"/>
      <c r="AA37" s="835" t="s">
        <v>195</v>
      </c>
      <c r="AB37" s="809"/>
    </row>
    <row r="38" spans="2:28" ht="20.25" customHeight="1">
      <c r="B38" s="833">
        <v>0.70833333333336701</v>
      </c>
      <c r="C38" s="834"/>
      <c r="D38" s="835"/>
      <c r="E38" s="836"/>
      <c r="F38" s="835">
        <v>0</v>
      </c>
      <c r="G38" s="836"/>
      <c r="H38" s="835"/>
      <c r="I38" s="836"/>
      <c r="J38" s="835"/>
      <c r="K38" s="836"/>
      <c r="L38" s="835"/>
      <c r="M38" s="836"/>
      <c r="N38" s="88">
        <v>479</v>
      </c>
      <c r="O38" s="835">
        <v>26</v>
      </c>
      <c r="P38" s="836"/>
      <c r="Q38" s="835">
        <v>25</v>
      </c>
      <c r="R38" s="836"/>
      <c r="S38" s="835"/>
      <c r="T38" s="808"/>
      <c r="U38" s="808"/>
      <c r="V38" s="808"/>
      <c r="W38" s="808"/>
      <c r="X38" s="808"/>
      <c r="Y38" s="808"/>
      <c r="Z38" s="836"/>
      <c r="AA38" s="835" t="s">
        <v>193</v>
      </c>
      <c r="AB38" s="809"/>
    </row>
    <row r="39" spans="2:28" ht="20.25" customHeight="1">
      <c r="B39" s="833">
        <v>0.75000000000003297</v>
      </c>
      <c r="C39" s="834"/>
      <c r="D39" s="835"/>
      <c r="E39" s="836"/>
      <c r="F39" s="835">
        <v>0</v>
      </c>
      <c r="G39" s="836"/>
      <c r="H39" s="835"/>
      <c r="I39" s="836"/>
      <c r="J39" s="835"/>
      <c r="K39" s="836"/>
      <c r="L39" s="835"/>
      <c r="M39" s="836"/>
      <c r="N39" s="88">
        <v>467</v>
      </c>
      <c r="O39" s="835">
        <v>26</v>
      </c>
      <c r="P39" s="836"/>
      <c r="Q39" s="835">
        <v>25</v>
      </c>
      <c r="R39" s="836"/>
      <c r="S39" s="835"/>
      <c r="T39" s="808"/>
      <c r="U39" s="808"/>
      <c r="V39" s="808"/>
      <c r="W39" s="808"/>
      <c r="X39" s="808"/>
      <c r="Y39" s="808"/>
      <c r="Z39" s="836"/>
      <c r="AA39" s="835" t="s">
        <v>193</v>
      </c>
      <c r="AB39" s="809"/>
    </row>
    <row r="40" spans="2:28" ht="20.25" customHeight="1">
      <c r="B40" s="833">
        <v>0.79166666666666663</v>
      </c>
      <c r="C40" s="834"/>
      <c r="D40" s="835"/>
      <c r="E40" s="836"/>
      <c r="F40" s="835">
        <v>0</v>
      </c>
      <c r="G40" s="836"/>
      <c r="H40" s="835"/>
      <c r="I40" s="836"/>
      <c r="J40" s="835"/>
      <c r="K40" s="836"/>
      <c r="L40" s="835"/>
      <c r="M40" s="836"/>
      <c r="N40" s="88">
        <v>468</v>
      </c>
      <c r="O40" s="835">
        <v>26</v>
      </c>
      <c r="P40" s="836"/>
      <c r="Q40" s="835">
        <v>25</v>
      </c>
      <c r="R40" s="836"/>
      <c r="S40" s="835"/>
      <c r="T40" s="808"/>
      <c r="U40" s="808"/>
      <c r="V40" s="808"/>
      <c r="W40" s="808"/>
      <c r="X40" s="808"/>
      <c r="Y40" s="808"/>
      <c r="Z40" s="836"/>
      <c r="AA40" s="835" t="s">
        <v>193</v>
      </c>
      <c r="AB40" s="809"/>
    </row>
    <row r="41" spans="2:28" ht="20.25" customHeight="1">
      <c r="B41" s="833">
        <v>0.83333333333333337</v>
      </c>
      <c r="C41" s="834"/>
      <c r="D41" s="835"/>
      <c r="E41" s="836"/>
      <c r="F41" s="835">
        <v>0</v>
      </c>
      <c r="G41" s="836"/>
      <c r="H41" s="835"/>
      <c r="I41" s="836"/>
      <c r="J41" s="835"/>
      <c r="K41" s="836"/>
      <c r="L41" s="835"/>
      <c r="M41" s="836"/>
      <c r="N41" s="88">
        <v>477</v>
      </c>
      <c r="O41" s="835">
        <v>26</v>
      </c>
      <c r="P41" s="836"/>
      <c r="Q41" s="835">
        <v>25</v>
      </c>
      <c r="R41" s="836"/>
      <c r="S41" s="835"/>
      <c r="T41" s="808"/>
      <c r="U41" s="808"/>
      <c r="V41" s="808"/>
      <c r="W41" s="808"/>
      <c r="X41" s="808"/>
      <c r="Y41" s="808"/>
      <c r="Z41" s="836"/>
      <c r="AA41" s="835" t="s">
        <v>193</v>
      </c>
      <c r="AB41" s="809"/>
    </row>
    <row r="42" spans="2:28" ht="12.75">
      <c r="B42" s="833">
        <v>0.875</v>
      </c>
      <c r="C42" s="834"/>
      <c r="D42" s="835"/>
      <c r="E42" s="836"/>
      <c r="F42" s="835">
        <v>0</v>
      </c>
      <c r="G42" s="836"/>
      <c r="H42" s="835"/>
      <c r="I42" s="836"/>
      <c r="J42" s="835"/>
      <c r="K42" s="836"/>
      <c r="L42" s="835"/>
      <c r="M42" s="836"/>
      <c r="N42" s="88">
        <v>465</v>
      </c>
      <c r="O42" s="835">
        <v>26</v>
      </c>
      <c r="P42" s="836"/>
      <c r="Q42" s="835">
        <v>24</v>
      </c>
      <c r="R42" s="836"/>
      <c r="S42" s="835"/>
      <c r="T42" s="808"/>
      <c r="U42" s="808"/>
      <c r="V42" s="808"/>
      <c r="W42" s="808"/>
      <c r="X42" s="808"/>
      <c r="Y42" s="808"/>
      <c r="Z42" s="836"/>
      <c r="AA42" s="835" t="s">
        <v>194</v>
      </c>
      <c r="AB42" s="809"/>
    </row>
    <row r="43" spans="2:28" ht="12.75">
      <c r="B43" s="833">
        <v>0.91666666666666663</v>
      </c>
      <c r="C43" s="834"/>
      <c r="D43" s="835"/>
      <c r="E43" s="836"/>
      <c r="F43" s="835">
        <v>0</v>
      </c>
      <c r="G43" s="836"/>
      <c r="H43" s="835"/>
      <c r="I43" s="836"/>
      <c r="J43" s="835"/>
      <c r="K43" s="836"/>
      <c r="L43" s="835"/>
      <c r="M43" s="836"/>
      <c r="N43" s="88">
        <v>472</v>
      </c>
      <c r="O43" s="835">
        <v>26</v>
      </c>
      <c r="P43" s="836"/>
      <c r="Q43" s="835">
        <v>24</v>
      </c>
      <c r="R43" s="836"/>
      <c r="S43" s="835"/>
      <c r="T43" s="808"/>
      <c r="U43" s="808"/>
      <c r="V43" s="808"/>
      <c r="W43" s="808"/>
      <c r="X43" s="808"/>
      <c r="Y43" s="808"/>
      <c r="Z43" s="836"/>
      <c r="AA43" s="835" t="s">
        <v>194</v>
      </c>
      <c r="AB43" s="809"/>
    </row>
    <row r="44" spans="2:28" ht="12.75">
      <c r="B44" s="833">
        <v>0.95833333333333337</v>
      </c>
      <c r="C44" s="834"/>
      <c r="D44" s="835"/>
      <c r="E44" s="836"/>
      <c r="F44" s="835">
        <v>0</v>
      </c>
      <c r="G44" s="836"/>
      <c r="H44" s="835"/>
      <c r="I44" s="836"/>
      <c r="J44" s="835"/>
      <c r="K44" s="836"/>
      <c r="L44" s="835"/>
      <c r="M44" s="836"/>
      <c r="N44" s="88">
        <v>468</v>
      </c>
      <c r="O44" s="835">
        <v>26</v>
      </c>
      <c r="P44" s="836"/>
      <c r="Q44" s="835">
        <v>24</v>
      </c>
      <c r="R44" s="836"/>
      <c r="S44" s="835"/>
      <c r="T44" s="808"/>
      <c r="U44" s="808"/>
      <c r="V44" s="808"/>
      <c r="W44" s="808"/>
      <c r="X44" s="808"/>
      <c r="Y44" s="808"/>
      <c r="Z44" s="836"/>
      <c r="AA44" s="835" t="s">
        <v>194</v>
      </c>
      <c r="AB44" s="809"/>
    </row>
    <row r="45" spans="2:28" ht="12.75">
      <c r="B45" s="833">
        <v>1</v>
      </c>
      <c r="C45" s="834"/>
      <c r="D45" s="835"/>
      <c r="E45" s="836"/>
      <c r="F45" s="835">
        <v>0</v>
      </c>
      <c r="G45" s="836"/>
      <c r="H45" s="835"/>
      <c r="I45" s="836"/>
      <c r="J45" s="835"/>
      <c r="K45" s="836"/>
      <c r="L45" s="835"/>
      <c r="M45" s="836"/>
      <c r="N45" s="88">
        <v>467</v>
      </c>
      <c r="O45" s="835">
        <v>26</v>
      </c>
      <c r="P45" s="836"/>
      <c r="Q45" s="835">
        <v>24</v>
      </c>
      <c r="R45" s="836"/>
      <c r="S45" s="835"/>
      <c r="T45" s="808"/>
      <c r="U45" s="808"/>
      <c r="V45" s="808"/>
      <c r="W45" s="808"/>
      <c r="X45" s="808"/>
      <c r="Y45" s="808"/>
      <c r="Z45" s="836"/>
      <c r="AA45" s="835" t="s">
        <v>194</v>
      </c>
      <c r="AB45" s="809"/>
    </row>
    <row r="46" spans="2:28" ht="12" customHeight="1">
      <c r="B46" s="833">
        <v>1.2499999999999999E-2</v>
      </c>
      <c r="C46" s="834"/>
      <c r="D46" s="835"/>
      <c r="E46" s="836"/>
      <c r="F46" s="835">
        <v>0</v>
      </c>
      <c r="G46" s="836"/>
      <c r="H46" s="835"/>
      <c r="I46" s="836"/>
      <c r="J46" s="835"/>
      <c r="K46" s="836"/>
      <c r="L46" s="835"/>
      <c r="M46" s="836"/>
      <c r="N46" s="88">
        <v>123</v>
      </c>
      <c r="O46" s="835">
        <v>26</v>
      </c>
      <c r="P46" s="836"/>
      <c r="Q46" s="835">
        <v>24</v>
      </c>
      <c r="R46" s="836"/>
      <c r="S46" s="835" t="s">
        <v>234</v>
      </c>
      <c r="T46" s="808"/>
      <c r="U46" s="808"/>
      <c r="V46" s="808"/>
      <c r="W46" s="808"/>
      <c r="X46" s="808"/>
      <c r="Y46" s="808"/>
      <c r="Z46" s="836"/>
      <c r="AA46" s="835" t="s">
        <v>195</v>
      </c>
      <c r="AB46" s="809"/>
    </row>
    <row r="47" spans="2:28" ht="11.25" customHeight="1">
      <c r="B47" s="78"/>
      <c r="C47" s="79"/>
      <c r="D47" s="79"/>
      <c r="E47" s="79"/>
      <c r="F47" s="79"/>
      <c r="G47" s="79"/>
      <c r="H47" s="79"/>
      <c r="I47" s="79"/>
      <c r="J47" s="79"/>
      <c r="K47" s="79"/>
      <c r="L47" s="79"/>
      <c r="M47" s="79"/>
      <c r="N47" s="79"/>
      <c r="O47" s="79"/>
      <c r="P47" s="79"/>
      <c r="Q47" s="79"/>
      <c r="R47" s="79"/>
      <c r="S47" s="843" t="s">
        <v>236</v>
      </c>
      <c r="T47" s="843"/>
      <c r="U47" s="843"/>
      <c r="V47" s="843"/>
      <c r="W47" s="843"/>
      <c r="X47" s="843"/>
      <c r="Y47" s="843"/>
      <c r="Z47" s="843"/>
      <c r="AA47" s="79"/>
      <c r="AB47" s="80"/>
    </row>
    <row r="48" spans="2:28" ht="9" customHeight="1">
      <c r="B48" s="78"/>
      <c r="C48" s="79"/>
      <c r="D48" s="79"/>
      <c r="E48" s="79"/>
      <c r="F48" s="79"/>
      <c r="G48" s="79"/>
      <c r="H48" s="79"/>
      <c r="I48" s="79"/>
      <c r="J48" s="79"/>
      <c r="K48" s="79"/>
      <c r="L48" s="79"/>
      <c r="M48" s="79"/>
      <c r="N48" s="79"/>
      <c r="O48" s="79"/>
      <c r="P48" s="79"/>
      <c r="Q48" s="79"/>
      <c r="R48" s="79"/>
      <c r="S48" s="79"/>
      <c r="T48" s="79"/>
      <c r="U48" s="79"/>
      <c r="V48" s="79"/>
      <c r="W48" s="79"/>
      <c r="X48" s="79"/>
      <c r="Y48" s="79"/>
      <c r="Z48" s="79"/>
      <c r="AA48" s="79"/>
      <c r="AB48" s="80"/>
    </row>
    <row r="49" spans="2:28" ht="0" hidden="1" customHeight="1">
      <c r="B49" s="78"/>
      <c r="C49" s="839"/>
      <c r="D49" s="839"/>
      <c r="E49" s="839"/>
      <c r="F49" s="839"/>
      <c r="G49" s="79"/>
      <c r="H49" s="79"/>
      <c r="I49" s="79"/>
      <c r="J49" s="79"/>
      <c r="K49" s="79"/>
      <c r="L49" s="79"/>
      <c r="M49" s="79"/>
      <c r="N49" s="79"/>
      <c r="O49" s="79"/>
      <c r="P49" s="79"/>
      <c r="Q49" s="840"/>
      <c r="R49" s="840"/>
      <c r="S49" s="840"/>
      <c r="T49" s="840"/>
      <c r="U49" s="840"/>
      <c r="V49" s="840"/>
      <c r="W49" s="79"/>
      <c r="X49" s="840"/>
      <c r="Y49" s="840"/>
      <c r="Z49" s="840"/>
      <c r="AA49" s="840"/>
      <c r="AB49" s="841"/>
    </row>
    <row r="50" spans="2:28" ht="0" hidden="1" customHeight="1">
      <c r="B50" s="842" t="s">
        <v>37</v>
      </c>
      <c r="C50" s="843"/>
      <c r="D50" s="843"/>
      <c r="E50" s="843"/>
      <c r="F50" s="843"/>
      <c r="G50" s="843"/>
      <c r="H50" s="79"/>
      <c r="I50" s="843" t="s">
        <v>125</v>
      </c>
      <c r="J50" s="843"/>
      <c r="K50" s="843"/>
      <c r="L50" s="843"/>
      <c r="M50" s="843"/>
      <c r="N50" s="843"/>
      <c r="O50" s="843"/>
      <c r="P50" s="79"/>
      <c r="Q50" s="843" t="s">
        <v>126</v>
      </c>
      <c r="R50" s="843"/>
      <c r="S50" s="843"/>
      <c r="T50" s="843"/>
      <c r="U50" s="843"/>
      <c r="V50" s="843"/>
      <c r="W50" s="79"/>
      <c r="X50" s="843" t="s">
        <v>23</v>
      </c>
      <c r="Y50" s="843"/>
      <c r="Z50" s="843"/>
      <c r="AA50" s="843"/>
      <c r="AB50" s="844"/>
    </row>
    <row r="51" spans="2:28" ht="0" hidden="1" customHeight="1">
      <c r="B51" s="78"/>
      <c r="C51" s="79"/>
      <c r="D51" s="79"/>
      <c r="E51" s="79"/>
      <c r="F51" s="79"/>
      <c r="G51" s="79"/>
      <c r="H51" s="79"/>
      <c r="I51" s="79"/>
      <c r="J51" s="79"/>
      <c r="K51" s="79"/>
      <c r="L51" s="79"/>
      <c r="M51" s="79"/>
      <c r="N51" s="79"/>
      <c r="O51" s="79"/>
      <c r="P51" s="79"/>
      <c r="Q51" s="79"/>
      <c r="R51" s="79"/>
      <c r="S51" s="79"/>
      <c r="T51" s="79"/>
      <c r="U51" s="79"/>
      <c r="V51" s="79"/>
      <c r="W51" s="79"/>
      <c r="X51" s="79"/>
      <c r="Y51" s="79"/>
      <c r="Z51" s="79"/>
      <c r="AA51" s="79"/>
      <c r="AB51" s="80"/>
    </row>
    <row r="52" spans="2:28" ht="0" hidden="1" customHeight="1">
      <c r="B52" s="89"/>
      <c r="C52" s="90"/>
      <c r="D52" s="90"/>
      <c r="E52" s="90"/>
      <c r="F52" s="90"/>
      <c r="G52" s="90"/>
      <c r="H52" s="90"/>
      <c r="I52" s="90"/>
      <c r="J52" s="90"/>
      <c r="K52" s="90"/>
      <c r="L52" s="90"/>
      <c r="M52" s="90"/>
      <c r="N52" s="90"/>
      <c r="O52" s="90"/>
      <c r="P52" s="90"/>
      <c r="Q52" s="90"/>
      <c r="R52" s="90"/>
      <c r="S52" s="90"/>
      <c r="T52" s="90"/>
      <c r="U52" s="90"/>
      <c r="V52" s="90"/>
      <c r="W52" s="90"/>
      <c r="X52" s="90"/>
      <c r="Y52" s="90"/>
      <c r="Z52" s="90"/>
      <c r="AA52" s="90"/>
      <c r="AB52" s="91"/>
    </row>
  </sheetData>
  <mergeCells count="337">
    <mergeCell ref="S47:Z47"/>
    <mergeCell ref="O46:P46"/>
    <mergeCell ref="Q46:R46"/>
    <mergeCell ref="S46:Z46"/>
    <mergeCell ref="AA46:AB46"/>
    <mergeCell ref="O45:P45"/>
    <mergeCell ref="Q45:R45"/>
    <mergeCell ref="S45:Z45"/>
    <mergeCell ref="AA45:AB45"/>
    <mergeCell ref="B46:C46"/>
    <mergeCell ref="D46:E46"/>
    <mergeCell ref="F46:G46"/>
    <mergeCell ref="H46:I46"/>
    <mergeCell ref="J46:K46"/>
    <mergeCell ref="L46:M46"/>
    <mergeCell ref="O44:P44"/>
    <mergeCell ref="Q44:R44"/>
    <mergeCell ref="S44:Z44"/>
    <mergeCell ref="B43:C43"/>
    <mergeCell ref="D43:E43"/>
    <mergeCell ref="F43:G43"/>
    <mergeCell ref="H43:I43"/>
    <mergeCell ref="J43:K43"/>
    <mergeCell ref="L43:M43"/>
    <mergeCell ref="AA44:AB44"/>
    <mergeCell ref="B45:C45"/>
    <mergeCell ref="D45:E45"/>
    <mergeCell ref="F45:G45"/>
    <mergeCell ref="H45:I45"/>
    <mergeCell ref="J45:K45"/>
    <mergeCell ref="L45:M45"/>
    <mergeCell ref="O43:P43"/>
    <mergeCell ref="Q43:R43"/>
    <mergeCell ref="S43:Z43"/>
    <mergeCell ref="AA43:AB43"/>
    <mergeCell ref="B44:C44"/>
    <mergeCell ref="D44:E44"/>
    <mergeCell ref="F44:G44"/>
    <mergeCell ref="H44:I44"/>
    <mergeCell ref="J44:K44"/>
    <mergeCell ref="L44:M44"/>
    <mergeCell ref="L40:M40"/>
    <mergeCell ref="O41:P41"/>
    <mergeCell ref="Q41:R41"/>
    <mergeCell ref="S41:Z41"/>
    <mergeCell ref="AA41:AB41"/>
    <mergeCell ref="B42:C42"/>
    <mergeCell ref="D42:E42"/>
    <mergeCell ref="F42:G42"/>
    <mergeCell ref="H42:I42"/>
    <mergeCell ref="J42:K42"/>
    <mergeCell ref="L42:M42"/>
    <mergeCell ref="O42:P42"/>
    <mergeCell ref="Q42:R42"/>
    <mergeCell ref="S42:Z42"/>
    <mergeCell ref="AA42:AB42"/>
    <mergeCell ref="C49:F49"/>
    <mergeCell ref="Q49:V49"/>
    <mergeCell ref="X49:AB49"/>
    <mergeCell ref="B50:G50"/>
    <mergeCell ref="I50:O50"/>
    <mergeCell ref="Q50:V50"/>
    <mergeCell ref="X50:AB50"/>
    <mergeCell ref="S39:Z39"/>
    <mergeCell ref="AA39:AB39"/>
    <mergeCell ref="O40:P40"/>
    <mergeCell ref="Q40:R40"/>
    <mergeCell ref="S40:Z40"/>
    <mergeCell ref="AA40:AB40"/>
    <mergeCell ref="B41:C41"/>
    <mergeCell ref="D41:E41"/>
    <mergeCell ref="F41:G41"/>
    <mergeCell ref="H41:I41"/>
    <mergeCell ref="J41:K41"/>
    <mergeCell ref="L41:M41"/>
    <mergeCell ref="B40:C40"/>
    <mergeCell ref="D40:E40"/>
    <mergeCell ref="F40:G40"/>
    <mergeCell ref="H40:I40"/>
    <mergeCell ref="J40:K40"/>
    <mergeCell ref="AA38:AB38"/>
    <mergeCell ref="B39:C39"/>
    <mergeCell ref="D39:E39"/>
    <mergeCell ref="F39:G39"/>
    <mergeCell ref="H39:I39"/>
    <mergeCell ref="J39:K39"/>
    <mergeCell ref="L39:M39"/>
    <mergeCell ref="O39:P39"/>
    <mergeCell ref="Q39:R39"/>
    <mergeCell ref="B38:C38"/>
    <mergeCell ref="D38:E38"/>
    <mergeCell ref="F38:G38"/>
    <mergeCell ref="H38:I38"/>
    <mergeCell ref="J38:K38"/>
    <mergeCell ref="L38:M38"/>
    <mergeCell ref="O38:P38"/>
    <mergeCell ref="Q38:R38"/>
    <mergeCell ref="S38:Z38"/>
    <mergeCell ref="AA36:AB36"/>
    <mergeCell ref="B37:C37"/>
    <mergeCell ref="D37:E37"/>
    <mergeCell ref="F37:G37"/>
    <mergeCell ref="H37:I37"/>
    <mergeCell ref="J37:K37"/>
    <mergeCell ref="L37:M37"/>
    <mergeCell ref="O37:P37"/>
    <mergeCell ref="Q37:R37"/>
    <mergeCell ref="S37:Z37"/>
    <mergeCell ref="AA37:AB37"/>
    <mergeCell ref="B36:C36"/>
    <mergeCell ref="D36:E36"/>
    <mergeCell ref="F36:G36"/>
    <mergeCell ref="H36:I36"/>
    <mergeCell ref="J36:K36"/>
    <mergeCell ref="L36:M36"/>
    <mergeCell ref="O36:P36"/>
    <mergeCell ref="Q36:R36"/>
    <mergeCell ref="S36:Z36"/>
    <mergeCell ref="AA34:AB34"/>
    <mergeCell ref="B35:C35"/>
    <mergeCell ref="D35:E35"/>
    <mergeCell ref="F35:G35"/>
    <mergeCell ref="H35:I35"/>
    <mergeCell ref="J35:K35"/>
    <mergeCell ref="L35:M35"/>
    <mergeCell ref="O35:P35"/>
    <mergeCell ref="Q35:R35"/>
    <mergeCell ref="S35:Z35"/>
    <mergeCell ref="AA35:AB35"/>
    <mergeCell ref="B34:C34"/>
    <mergeCell ref="D34:E34"/>
    <mergeCell ref="F34:G34"/>
    <mergeCell ref="H34:I34"/>
    <mergeCell ref="J34:K34"/>
    <mergeCell ref="L34:M34"/>
    <mergeCell ref="O34:P34"/>
    <mergeCell ref="Q34:R34"/>
    <mergeCell ref="S34:Z34"/>
    <mergeCell ref="AA32:AB32"/>
    <mergeCell ref="B33:C33"/>
    <mergeCell ref="D33:E33"/>
    <mergeCell ref="F33:G33"/>
    <mergeCell ref="H33:I33"/>
    <mergeCell ref="J33:K33"/>
    <mergeCell ref="L33:M33"/>
    <mergeCell ref="O33:P33"/>
    <mergeCell ref="Q33:R33"/>
    <mergeCell ref="S33:Z33"/>
    <mergeCell ref="AA33:AB33"/>
    <mergeCell ref="B32:C32"/>
    <mergeCell ref="D32:E32"/>
    <mergeCell ref="F32:G32"/>
    <mergeCell ref="H32:I32"/>
    <mergeCell ref="J32:K32"/>
    <mergeCell ref="L32:M32"/>
    <mergeCell ref="O32:P32"/>
    <mergeCell ref="Q32:R32"/>
    <mergeCell ref="S32:Z32"/>
    <mergeCell ref="AA30:AB30"/>
    <mergeCell ref="B31:C31"/>
    <mergeCell ref="D31:E31"/>
    <mergeCell ref="F31:G31"/>
    <mergeCell ref="H31:I31"/>
    <mergeCell ref="J31:K31"/>
    <mergeCell ref="L31:M31"/>
    <mergeCell ref="O31:P31"/>
    <mergeCell ref="Q31:R31"/>
    <mergeCell ref="S31:Z31"/>
    <mergeCell ref="AA31:AB31"/>
    <mergeCell ref="B30:C30"/>
    <mergeCell ref="D30:E30"/>
    <mergeCell ref="F30:G30"/>
    <mergeCell ref="H30:I30"/>
    <mergeCell ref="J30:K30"/>
    <mergeCell ref="L30:M30"/>
    <mergeCell ref="O30:P30"/>
    <mergeCell ref="Q30:R30"/>
    <mergeCell ref="S30:Z30"/>
    <mergeCell ref="AA28:AB28"/>
    <mergeCell ref="B29:C29"/>
    <mergeCell ref="D29:E29"/>
    <mergeCell ref="F29:G29"/>
    <mergeCell ref="H29:I29"/>
    <mergeCell ref="J29:K29"/>
    <mergeCell ref="L29:M29"/>
    <mergeCell ref="O29:P29"/>
    <mergeCell ref="Q29:R29"/>
    <mergeCell ref="S29:Z29"/>
    <mergeCell ref="AA29:AB29"/>
    <mergeCell ref="B28:C28"/>
    <mergeCell ref="D28:E28"/>
    <mergeCell ref="F28:G28"/>
    <mergeCell ref="H28:I28"/>
    <mergeCell ref="J28:K28"/>
    <mergeCell ref="L28:M28"/>
    <mergeCell ref="O28:P28"/>
    <mergeCell ref="Q28:R28"/>
    <mergeCell ref="S28:Z28"/>
    <mergeCell ref="AA26:AB26"/>
    <mergeCell ref="B27:C27"/>
    <mergeCell ref="D27:E27"/>
    <mergeCell ref="F27:G27"/>
    <mergeCell ref="H27:I27"/>
    <mergeCell ref="J27:K27"/>
    <mergeCell ref="L27:M27"/>
    <mergeCell ref="O27:P27"/>
    <mergeCell ref="Q27:R27"/>
    <mergeCell ref="S27:Z27"/>
    <mergeCell ref="AA27:AB27"/>
    <mergeCell ref="B26:C26"/>
    <mergeCell ref="D26:E26"/>
    <mergeCell ref="F26:G26"/>
    <mergeCell ref="H26:I26"/>
    <mergeCell ref="J26:K26"/>
    <mergeCell ref="L26:M26"/>
    <mergeCell ref="O26:P26"/>
    <mergeCell ref="Q26:R26"/>
    <mergeCell ref="S26:Z26"/>
    <mergeCell ref="AA24:AB24"/>
    <mergeCell ref="B25:C25"/>
    <mergeCell ref="D25:E25"/>
    <mergeCell ref="F25:G25"/>
    <mergeCell ref="H25:I25"/>
    <mergeCell ref="J25:K25"/>
    <mergeCell ref="L25:M25"/>
    <mergeCell ref="O25:P25"/>
    <mergeCell ref="Q25:R25"/>
    <mergeCell ref="S25:Z25"/>
    <mergeCell ref="AA25:AB25"/>
    <mergeCell ref="B24:C24"/>
    <mergeCell ref="D24:E24"/>
    <mergeCell ref="F24:G24"/>
    <mergeCell ref="H24:I24"/>
    <mergeCell ref="J24:K24"/>
    <mergeCell ref="L24:M24"/>
    <mergeCell ref="O24:P24"/>
    <mergeCell ref="Q24:R24"/>
    <mergeCell ref="S24:Z24"/>
    <mergeCell ref="AA22:AB22"/>
    <mergeCell ref="B23:C23"/>
    <mergeCell ref="D23:E23"/>
    <mergeCell ref="F23:G23"/>
    <mergeCell ref="H23:I23"/>
    <mergeCell ref="J23:K23"/>
    <mergeCell ref="L23:M23"/>
    <mergeCell ref="O23:P23"/>
    <mergeCell ref="Q23:R23"/>
    <mergeCell ref="S23:Z23"/>
    <mergeCell ref="AA23:AB23"/>
    <mergeCell ref="B22:C22"/>
    <mergeCell ref="D22:E22"/>
    <mergeCell ref="F22:G22"/>
    <mergeCell ref="H22:I22"/>
    <mergeCell ref="J22:K22"/>
    <mergeCell ref="L22:M22"/>
    <mergeCell ref="O22:P22"/>
    <mergeCell ref="Q22:R22"/>
    <mergeCell ref="S22:Z22"/>
    <mergeCell ref="AA20:AB20"/>
    <mergeCell ref="B21:C21"/>
    <mergeCell ref="D21:E21"/>
    <mergeCell ref="F21:G21"/>
    <mergeCell ref="H21:I21"/>
    <mergeCell ref="J21:K21"/>
    <mergeCell ref="L21:M21"/>
    <mergeCell ref="O21:P21"/>
    <mergeCell ref="Q21:R21"/>
    <mergeCell ref="S21:Z21"/>
    <mergeCell ref="AA21:AB21"/>
    <mergeCell ref="B20:C20"/>
    <mergeCell ref="D20:E20"/>
    <mergeCell ref="F20:G20"/>
    <mergeCell ref="H20:I20"/>
    <mergeCell ref="J20:K20"/>
    <mergeCell ref="L20:M20"/>
    <mergeCell ref="O20:P20"/>
    <mergeCell ref="Q20:R20"/>
    <mergeCell ref="S20:Z20"/>
    <mergeCell ref="S18:Z18"/>
    <mergeCell ref="AA18:AB18"/>
    <mergeCell ref="B19:C19"/>
    <mergeCell ref="D19:E19"/>
    <mergeCell ref="F19:G19"/>
    <mergeCell ref="H19:I19"/>
    <mergeCell ref="J19:K19"/>
    <mergeCell ref="L19:M19"/>
    <mergeCell ref="O19:P19"/>
    <mergeCell ref="Q19:R19"/>
    <mergeCell ref="S19:Z19"/>
    <mergeCell ref="AA19:AB19"/>
    <mergeCell ref="B18:C18"/>
    <mergeCell ref="D18:E18"/>
    <mergeCell ref="F18:G18"/>
    <mergeCell ref="H18:I18"/>
    <mergeCell ref="J18:K18"/>
    <mergeCell ref="L18:M18"/>
    <mergeCell ref="O18:P18"/>
    <mergeCell ref="Q18:R18"/>
    <mergeCell ref="O15:R15"/>
    <mergeCell ref="S15:Z17"/>
    <mergeCell ref="AA15:AB17"/>
    <mergeCell ref="B16:C16"/>
    <mergeCell ref="D16:M16"/>
    <mergeCell ref="O16:P16"/>
    <mergeCell ref="Q16:R16"/>
    <mergeCell ref="O17:P17"/>
    <mergeCell ref="Q17:R17"/>
    <mergeCell ref="B17:C17"/>
    <mergeCell ref="D17:E17"/>
    <mergeCell ref="F17:G17"/>
    <mergeCell ref="H17:I17"/>
    <mergeCell ref="J17:K17"/>
    <mergeCell ref="L17:M17"/>
    <mergeCell ref="B15:C15"/>
    <mergeCell ref="D15:M15"/>
    <mergeCell ref="N15:N16"/>
    <mergeCell ref="Q10:AB10"/>
    <mergeCell ref="Q11:AB11"/>
    <mergeCell ref="B13:AB13"/>
    <mergeCell ref="D5:J5"/>
    <mergeCell ref="M5:S5"/>
    <mergeCell ref="W5:AB5"/>
    <mergeCell ref="I6:M6"/>
    <mergeCell ref="X6:AB6"/>
    <mergeCell ref="F7:G7"/>
    <mergeCell ref="L7:M7"/>
    <mergeCell ref="T7:U7"/>
    <mergeCell ref="AA7:AB7"/>
    <mergeCell ref="B2:B3"/>
    <mergeCell ref="G2:V3"/>
    <mergeCell ref="W2:Y2"/>
    <mergeCell ref="Z2:AB2"/>
    <mergeCell ref="W3:Y3"/>
    <mergeCell ref="Z3:AB3"/>
    <mergeCell ref="I8:M8"/>
    <mergeCell ref="X8:AB8"/>
    <mergeCell ref="Q9:AB9"/>
  </mergeCells>
  <printOptions horizontalCentered="1" verticalCentered="1"/>
  <pageMargins left="0.31496062992125984" right="0.31496062992125984" top="0.35433070866141736" bottom="0.15748031496062992" header="0.31496062992125984" footer="0.31496062992125984"/>
  <pageSetup paperSize="9" scale="85"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B1:AD48"/>
  <sheetViews>
    <sheetView workbookViewId="0"/>
  </sheetViews>
  <sheetFormatPr baseColWidth="10" defaultColWidth="0" defaultRowHeight="0" customHeight="1" zeroHeight="1"/>
  <cols>
    <col min="1" max="1" width="1.28515625" style="74" customWidth="1"/>
    <col min="2" max="3" width="4.28515625" style="74" customWidth="1"/>
    <col min="4" max="7" width="3.7109375" style="74" customWidth="1"/>
    <col min="8" max="8" width="3.85546875" style="74" customWidth="1"/>
    <col min="9" max="13" width="3.7109375" style="74" customWidth="1"/>
    <col min="14" max="14" width="11" style="74" customWidth="1"/>
    <col min="15" max="28" width="3.7109375" style="74" customWidth="1"/>
    <col min="29" max="29" width="1.28515625" style="74" customWidth="1"/>
    <col min="30" max="30" width="3.7109375" style="74" hidden="1" customWidth="1"/>
    <col min="31" max="16384" width="0" style="74" hidden="1"/>
  </cols>
  <sheetData>
    <row r="1" spans="2:28" ht="9" customHeight="1" thickBot="1"/>
    <row r="2" spans="2:28" ht="19.5" customHeight="1">
      <c r="B2" s="782"/>
      <c r="C2" s="75"/>
      <c r="D2" s="75"/>
      <c r="E2" s="75"/>
      <c r="F2" s="76"/>
      <c r="G2" s="784" t="s">
        <v>103</v>
      </c>
      <c r="H2" s="784"/>
      <c r="I2" s="784"/>
      <c r="J2" s="784"/>
      <c r="K2" s="784"/>
      <c r="L2" s="784"/>
      <c r="M2" s="784"/>
      <c r="N2" s="784"/>
      <c r="O2" s="784"/>
      <c r="P2" s="784"/>
      <c r="Q2" s="784"/>
      <c r="R2" s="784"/>
      <c r="S2" s="784"/>
      <c r="T2" s="784"/>
      <c r="U2" s="784"/>
      <c r="V2" s="785"/>
      <c r="W2" s="788" t="s">
        <v>104</v>
      </c>
      <c r="X2" s="788"/>
      <c r="Y2" s="788"/>
      <c r="Z2" s="789" t="s">
        <v>2</v>
      </c>
      <c r="AA2" s="789"/>
      <c r="AB2" s="790"/>
    </row>
    <row r="3" spans="2:28" ht="18" customHeight="1" thickBot="1">
      <c r="B3" s="783"/>
      <c r="C3" s="77"/>
      <c r="D3" s="77"/>
      <c r="E3" s="77"/>
      <c r="F3" s="77"/>
      <c r="G3" s="786"/>
      <c r="H3" s="786"/>
      <c r="I3" s="786"/>
      <c r="J3" s="786"/>
      <c r="K3" s="786"/>
      <c r="L3" s="786"/>
      <c r="M3" s="786"/>
      <c r="N3" s="786"/>
      <c r="O3" s="786"/>
      <c r="P3" s="786"/>
      <c r="Q3" s="786"/>
      <c r="R3" s="786"/>
      <c r="S3" s="786"/>
      <c r="T3" s="786"/>
      <c r="U3" s="786"/>
      <c r="V3" s="787"/>
      <c r="W3" s="791" t="s">
        <v>3</v>
      </c>
      <c r="X3" s="791"/>
      <c r="Y3" s="791"/>
      <c r="Z3" s="792">
        <v>42917</v>
      </c>
      <c r="AA3" s="792"/>
      <c r="AB3" s="793"/>
    </row>
    <row r="4" spans="2:28" ht="12.75">
      <c r="B4" s="78"/>
      <c r="C4" s="79"/>
      <c r="D4" s="79"/>
      <c r="E4" s="79"/>
      <c r="F4" s="79"/>
      <c r="G4" s="79"/>
      <c r="H4" s="79"/>
      <c r="I4" s="79"/>
      <c r="J4" s="79"/>
      <c r="K4" s="79"/>
      <c r="L4" s="79"/>
      <c r="M4" s="79"/>
      <c r="N4" s="79"/>
      <c r="O4" s="79"/>
      <c r="P4" s="79"/>
      <c r="Q4" s="79"/>
      <c r="R4" s="79"/>
      <c r="S4" s="79"/>
      <c r="T4" s="79"/>
      <c r="U4" s="79"/>
      <c r="V4" s="79"/>
      <c r="W4" s="79"/>
      <c r="X4" s="79"/>
      <c r="Y4" s="79"/>
      <c r="Z4" s="79"/>
      <c r="AA4" s="79"/>
      <c r="AB4" s="80"/>
    </row>
    <row r="5" spans="2:28" ht="20.25" customHeight="1">
      <c r="B5" s="68"/>
      <c r="C5" s="81" t="s">
        <v>97</v>
      </c>
      <c r="D5" s="802" t="s">
        <v>6</v>
      </c>
      <c r="E5" s="802"/>
      <c r="F5" s="802"/>
      <c r="G5" s="802"/>
      <c r="H5" s="802"/>
      <c r="I5" s="802"/>
      <c r="J5" s="802"/>
      <c r="K5" s="82"/>
      <c r="L5" s="81" t="s">
        <v>96</v>
      </c>
      <c r="M5" s="802">
        <f>'Data Entry'!B13</f>
        <v>0</v>
      </c>
      <c r="N5" s="802"/>
      <c r="O5" s="802"/>
      <c r="P5" s="802"/>
      <c r="Q5" s="802"/>
      <c r="R5" s="802"/>
      <c r="S5" s="802"/>
      <c r="T5" s="83"/>
      <c r="U5" s="66"/>
      <c r="V5" s="81" t="s">
        <v>90</v>
      </c>
      <c r="W5" s="803">
        <f>'Data Entry'!B19</f>
        <v>0</v>
      </c>
      <c r="X5" s="803"/>
      <c r="Y5" s="803"/>
      <c r="Z5" s="803"/>
      <c r="AA5" s="803"/>
      <c r="AB5" s="804"/>
    </row>
    <row r="6" spans="2:28" ht="20.25" customHeight="1">
      <c r="B6" s="78"/>
      <c r="C6" s="81"/>
      <c r="D6" s="81"/>
      <c r="E6" s="79"/>
      <c r="F6" s="79"/>
      <c r="G6" s="82"/>
      <c r="H6" s="81" t="s">
        <v>105</v>
      </c>
      <c r="I6" s="805">
        <v>43009.1875</v>
      </c>
      <c r="J6" s="806"/>
      <c r="K6" s="806"/>
      <c r="L6" s="806"/>
      <c r="M6" s="806"/>
      <c r="N6" s="84"/>
      <c r="O6" s="79"/>
      <c r="P6" s="79"/>
      <c r="Q6" s="81"/>
      <c r="R6" s="79"/>
      <c r="S6" s="82"/>
      <c r="T6" s="83"/>
      <c r="U6" s="79"/>
      <c r="V6" s="79"/>
      <c r="W6" s="81" t="s">
        <v>106</v>
      </c>
      <c r="X6" s="807">
        <v>43008.04583333333</v>
      </c>
      <c r="Y6" s="808"/>
      <c r="Z6" s="808"/>
      <c r="AA6" s="808"/>
      <c r="AB6" s="809"/>
    </row>
    <row r="7" spans="2:28" ht="20.25" customHeight="1">
      <c r="B7" s="78"/>
      <c r="C7" s="79"/>
      <c r="D7" s="79"/>
      <c r="E7" s="81" t="s">
        <v>107</v>
      </c>
      <c r="F7" s="810">
        <v>1</v>
      </c>
      <c r="G7" s="810"/>
      <c r="H7" s="79"/>
      <c r="I7" s="82"/>
      <c r="J7" s="79"/>
      <c r="K7" s="81" t="s">
        <v>108</v>
      </c>
      <c r="L7" s="808" t="s">
        <v>216</v>
      </c>
      <c r="M7" s="808"/>
      <c r="N7" s="85"/>
      <c r="O7" s="79"/>
      <c r="P7" s="82"/>
      <c r="Q7" s="79"/>
      <c r="R7" s="79"/>
      <c r="S7" s="81" t="s">
        <v>109</v>
      </c>
      <c r="T7" s="811" t="s">
        <v>192</v>
      </c>
      <c r="U7" s="811"/>
      <c r="V7" s="79"/>
      <c r="W7" s="79"/>
      <c r="X7" s="79"/>
      <c r="Y7" s="79"/>
      <c r="Z7" s="81" t="s">
        <v>110</v>
      </c>
      <c r="AA7" s="808" t="s">
        <v>220</v>
      </c>
      <c r="AB7" s="809"/>
    </row>
    <row r="8" spans="2:28" ht="20.25" customHeight="1">
      <c r="B8" s="78"/>
      <c r="C8" s="81"/>
      <c r="D8" s="81"/>
      <c r="E8" s="81"/>
      <c r="F8" s="79"/>
      <c r="G8" s="79"/>
      <c r="H8" s="81" t="s">
        <v>111</v>
      </c>
      <c r="I8" s="794">
        <v>43009.883333333331</v>
      </c>
      <c r="J8" s="794"/>
      <c r="K8" s="794"/>
      <c r="L8" s="794"/>
      <c r="M8" s="794"/>
      <c r="N8" s="84"/>
      <c r="O8" s="81"/>
      <c r="P8" s="81"/>
      <c r="Q8" s="81"/>
      <c r="R8" s="81"/>
      <c r="S8" s="79"/>
      <c r="T8" s="83"/>
      <c r="U8" s="79"/>
      <c r="V8" s="79"/>
      <c r="W8" s="81" t="s">
        <v>112</v>
      </c>
      <c r="X8" s="795">
        <v>43011.020833333336</v>
      </c>
      <c r="Y8" s="795"/>
      <c r="Z8" s="795"/>
      <c r="AA8" s="795"/>
      <c r="AB8" s="796"/>
    </row>
    <row r="9" spans="2:28" ht="20.25" customHeight="1">
      <c r="B9" s="78"/>
      <c r="C9" s="81"/>
      <c r="D9" s="81"/>
      <c r="E9" s="81"/>
      <c r="F9" s="81"/>
      <c r="G9" s="81"/>
      <c r="H9" s="81"/>
      <c r="I9" s="79"/>
      <c r="J9" s="81"/>
      <c r="K9" s="79"/>
      <c r="L9" s="79"/>
      <c r="M9" s="82"/>
      <c r="N9" s="82"/>
      <c r="O9" s="79"/>
      <c r="P9" s="81" t="s">
        <v>237</v>
      </c>
      <c r="Q9" s="797" t="s">
        <v>228</v>
      </c>
      <c r="R9" s="797"/>
      <c r="S9" s="797"/>
      <c r="T9" s="797"/>
      <c r="U9" s="797"/>
      <c r="V9" s="797"/>
      <c r="W9" s="797"/>
      <c r="X9" s="797"/>
      <c r="Y9" s="797"/>
      <c r="Z9" s="797"/>
      <c r="AA9" s="797"/>
      <c r="AB9" s="798"/>
    </row>
    <row r="10" spans="2:28" ht="20.25" customHeight="1">
      <c r="B10" s="78"/>
      <c r="C10" s="81"/>
      <c r="D10" s="81"/>
      <c r="E10" s="81"/>
      <c r="F10" s="81"/>
      <c r="G10" s="81"/>
      <c r="H10" s="81"/>
      <c r="I10" s="81"/>
      <c r="J10" s="81"/>
      <c r="K10" s="79"/>
      <c r="L10" s="79"/>
      <c r="M10" s="82"/>
      <c r="N10" s="82"/>
      <c r="O10" s="79"/>
      <c r="P10" s="81" t="s">
        <v>238</v>
      </c>
      <c r="Q10" s="797" t="s">
        <v>217</v>
      </c>
      <c r="R10" s="797"/>
      <c r="S10" s="797"/>
      <c r="T10" s="797"/>
      <c r="U10" s="797"/>
      <c r="V10" s="797"/>
      <c r="W10" s="797"/>
      <c r="X10" s="797"/>
      <c r="Y10" s="797"/>
      <c r="Z10" s="797"/>
      <c r="AA10" s="797"/>
      <c r="AB10" s="798"/>
    </row>
    <row r="11" spans="2:28" ht="20.25" customHeight="1">
      <c r="B11" s="78"/>
      <c r="C11" s="81"/>
      <c r="D11" s="81"/>
      <c r="E11" s="81"/>
      <c r="F11" s="81"/>
      <c r="G11" s="81"/>
      <c r="H11" s="81"/>
      <c r="I11" s="81"/>
      <c r="J11" s="81"/>
      <c r="K11" s="79"/>
      <c r="L11" s="79"/>
      <c r="M11" s="82"/>
      <c r="N11" s="82"/>
      <c r="O11" s="79"/>
      <c r="P11" s="81" t="s">
        <v>113</v>
      </c>
      <c r="Q11" s="797"/>
      <c r="R11" s="797"/>
      <c r="S11" s="797"/>
      <c r="T11" s="797"/>
      <c r="U11" s="797"/>
      <c r="V11" s="797"/>
      <c r="W11" s="797"/>
      <c r="X11" s="797"/>
      <c r="Y11" s="797"/>
      <c r="Z11" s="797"/>
      <c r="AA11" s="797"/>
      <c r="AB11" s="798"/>
    </row>
    <row r="12" spans="2:28" ht="15.75" customHeight="1">
      <c r="B12" s="78"/>
      <c r="C12" s="81"/>
      <c r="D12" s="81"/>
      <c r="E12" s="81"/>
      <c r="F12" s="81"/>
      <c r="G12" s="81"/>
      <c r="H12" s="81"/>
      <c r="I12" s="81"/>
      <c r="J12" s="81"/>
      <c r="K12" s="79"/>
      <c r="L12" s="81"/>
      <c r="M12" s="82"/>
      <c r="N12" s="82"/>
      <c r="O12" s="82"/>
      <c r="P12" s="82"/>
      <c r="Q12" s="82"/>
      <c r="R12" s="82"/>
      <c r="S12" s="82"/>
      <c r="T12" s="83"/>
      <c r="U12" s="79"/>
      <c r="V12" s="79"/>
      <c r="W12" s="79"/>
      <c r="X12" s="79"/>
      <c r="Y12" s="79"/>
      <c r="Z12" s="79"/>
      <c r="AA12" s="79"/>
      <c r="AB12" s="80"/>
    </row>
    <row r="13" spans="2:28" ht="15">
      <c r="B13" s="799" t="s">
        <v>114</v>
      </c>
      <c r="C13" s="800"/>
      <c r="D13" s="800"/>
      <c r="E13" s="800"/>
      <c r="F13" s="800"/>
      <c r="G13" s="800"/>
      <c r="H13" s="800"/>
      <c r="I13" s="800"/>
      <c r="J13" s="800"/>
      <c r="K13" s="800"/>
      <c r="L13" s="800"/>
      <c r="M13" s="800"/>
      <c r="N13" s="800"/>
      <c r="O13" s="800"/>
      <c r="P13" s="800"/>
      <c r="Q13" s="800"/>
      <c r="R13" s="800"/>
      <c r="S13" s="800"/>
      <c r="T13" s="800"/>
      <c r="U13" s="800"/>
      <c r="V13" s="800"/>
      <c r="W13" s="800"/>
      <c r="X13" s="800"/>
      <c r="Y13" s="800"/>
      <c r="Z13" s="800"/>
      <c r="AA13" s="800"/>
      <c r="AB13" s="801"/>
    </row>
    <row r="14" spans="2:28" ht="6.75" customHeight="1">
      <c r="B14" s="86"/>
      <c r="C14" s="79"/>
      <c r="D14" s="79"/>
      <c r="E14" s="79"/>
      <c r="F14" s="79"/>
      <c r="G14" s="79"/>
      <c r="H14" s="79"/>
      <c r="I14" s="79"/>
      <c r="J14" s="79"/>
      <c r="K14" s="79"/>
      <c r="L14" s="79"/>
      <c r="M14" s="79"/>
      <c r="N14" s="79"/>
      <c r="O14" s="79"/>
      <c r="P14" s="79"/>
      <c r="Q14" s="79"/>
      <c r="R14" s="79"/>
      <c r="S14" s="79"/>
      <c r="T14" s="79"/>
      <c r="U14" s="79"/>
      <c r="V14" s="79"/>
      <c r="W14" s="79"/>
      <c r="X14" s="79"/>
      <c r="Y14" s="79"/>
      <c r="Z14" s="79"/>
      <c r="AA14" s="79"/>
      <c r="AB14" s="80"/>
    </row>
    <row r="15" spans="2:28" ht="15">
      <c r="B15" s="826" t="s">
        <v>39</v>
      </c>
      <c r="C15" s="827"/>
      <c r="D15" s="812" t="s">
        <v>115</v>
      </c>
      <c r="E15" s="812"/>
      <c r="F15" s="812"/>
      <c r="G15" s="812"/>
      <c r="H15" s="812"/>
      <c r="I15" s="812"/>
      <c r="J15" s="812"/>
      <c r="K15" s="812"/>
      <c r="L15" s="812"/>
      <c r="M15" s="812"/>
      <c r="N15" s="829" t="s">
        <v>116</v>
      </c>
      <c r="O15" s="812" t="s">
        <v>117</v>
      </c>
      <c r="P15" s="812"/>
      <c r="Q15" s="812"/>
      <c r="R15" s="812"/>
      <c r="S15" s="813" t="s">
        <v>118</v>
      </c>
      <c r="T15" s="814"/>
      <c r="U15" s="814"/>
      <c r="V15" s="814"/>
      <c r="W15" s="814"/>
      <c r="X15" s="814"/>
      <c r="Y15" s="814"/>
      <c r="Z15" s="815"/>
      <c r="AA15" s="822" t="s">
        <v>119</v>
      </c>
      <c r="AB15" s="823"/>
    </row>
    <row r="16" spans="2:28" ht="15">
      <c r="B16" s="824"/>
      <c r="C16" s="825"/>
      <c r="D16" s="812" t="s">
        <v>120</v>
      </c>
      <c r="E16" s="812"/>
      <c r="F16" s="812"/>
      <c r="G16" s="812"/>
      <c r="H16" s="812"/>
      <c r="I16" s="812"/>
      <c r="J16" s="812"/>
      <c r="K16" s="812"/>
      <c r="L16" s="812"/>
      <c r="M16" s="812"/>
      <c r="N16" s="830"/>
      <c r="O16" s="812" t="s">
        <v>121</v>
      </c>
      <c r="P16" s="812"/>
      <c r="Q16" s="812" t="s">
        <v>122</v>
      </c>
      <c r="R16" s="812"/>
      <c r="S16" s="816"/>
      <c r="T16" s="817"/>
      <c r="U16" s="817"/>
      <c r="V16" s="817"/>
      <c r="W16" s="817"/>
      <c r="X16" s="817"/>
      <c r="Y16" s="817"/>
      <c r="Z16" s="818"/>
      <c r="AA16" s="822"/>
      <c r="AB16" s="823"/>
    </row>
    <row r="17" spans="2:28" ht="15">
      <c r="B17" s="826" t="s">
        <v>123</v>
      </c>
      <c r="C17" s="827"/>
      <c r="D17" s="828"/>
      <c r="E17" s="828"/>
      <c r="F17" s="828" t="s">
        <v>233</v>
      </c>
      <c r="G17" s="828"/>
      <c r="H17" s="828"/>
      <c r="I17" s="828"/>
      <c r="J17" s="828"/>
      <c r="K17" s="828"/>
      <c r="L17" s="828"/>
      <c r="M17" s="828"/>
      <c r="N17" s="87"/>
      <c r="O17" s="812" t="s">
        <v>124</v>
      </c>
      <c r="P17" s="812"/>
      <c r="Q17" s="812" t="s">
        <v>124</v>
      </c>
      <c r="R17" s="812"/>
      <c r="S17" s="819"/>
      <c r="T17" s="820"/>
      <c r="U17" s="820"/>
      <c r="V17" s="820"/>
      <c r="W17" s="820"/>
      <c r="X17" s="820"/>
      <c r="Y17" s="820"/>
      <c r="Z17" s="821"/>
      <c r="AA17" s="822"/>
      <c r="AB17" s="823"/>
    </row>
    <row r="18" spans="2:28" ht="20.25" customHeight="1">
      <c r="B18" s="837">
        <v>0.19583333333333333</v>
      </c>
      <c r="C18" s="838"/>
      <c r="D18" s="831"/>
      <c r="E18" s="831"/>
      <c r="F18" s="831">
        <v>0</v>
      </c>
      <c r="G18" s="831"/>
      <c r="H18" s="831"/>
      <c r="I18" s="831"/>
      <c r="J18" s="831"/>
      <c r="K18" s="831"/>
      <c r="L18" s="831"/>
      <c r="M18" s="831"/>
      <c r="N18" s="88"/>
      <c r="O18" s="831"/>
      <c r="P18" s="831"/>
      <c r="Q18" s="831"/>
      <c r="R18" s="831"/>
      <c r="S18" s="831" t="s">
        <v>227</v>
      </c>
      <c r="T18" s="831"/>
      <c r="U18" s="831"/>
      <c r="V18" s="831"/>
      <c r="W18" s="831"/>
      <c r="X18" s="831"/>
      <c r="Y18" s="831"/>
      <c r="Z18" s="831"/>
      <c r="AA18" s="831" t="s">
        <v>219</v>
      </c>
      <c r="AB18" s="832"/>
    </row>
    <row r="19" spans="2:28" ht="20.25" customHeight="1">
      <c r="B19" s="837">
        <v>0.20833333333333334</v>
      </c>
      <c r="C19" s="838"/>
      <c r="D19" s="831"/>
      <c r="E19" s="831"/>
      <c r="F19" s="831">
        <v>0</v>
      </c>
      <c r="G19" s="831"/>
      <c r="H19" s="831"/>
      <c r="I19" s="831"/>
      <c r="J19" s="831"/>
      <c r="K19" s="831"/>
      <c r="L19" s="831"/>
      <c r="M19" s="831"/>
      <c r="N19" s="88">
        <v>61</v>
      </c>
      <c r="O19" s="831">
        <v>22</v>
      </c>
      <c r="P19" s="831"/>
      <c r="Q19" s="831">
        <v>23</v>
      </c>
      <c r="R19" s="831"/>
      <c r="S19" s="831"/>
      <c r="T19" s="831"/>
      <c r="U19" s="831"/>
      <c r="V19" s="831"/>
      <c r="W19" s="831"/>
      <c r="X19" s="831"/>
      <c r="Y19" s="831"/>
      <c r="Z19" s="831"/>
      <c r="AA19" s="831" t="s">
        <v>193</v>
      </c>
      <c r="AB19" s="832"/>
    </row>
    <row r="20" spans="2:28" ht="20.25" customHeight="1">
      <c r="B20" s="837">
        <v>0.25</v>
      </c>
      <c r="C20" s="838"/>
      <c r="D20" s="831"/>
      <c r="E20" s="831"/>
      <c r="F20" s="831">
        <v>0</v>
      </c>
      <c r="G20" s="831"/>
      <c r="H20" s="831"/>
      <c r="I20" s="831"/>
      <c r="J20" s="831"/>
      <c r="K20" s="831"/>
      <c r="L20" s="831"/>
      <c r="M20" s="831"/>
      <c r="N20" s="88">
        <v>442</v>
      </c>
      <c r="O20" s="831">
        <v>22</v>
      </c>
      <c r="P20" s="831"/>
      <c r="Q20" s="831">
        <v>23</v>
      </c>
      <c r="R20" s="831"/>
      <c r="S20" s="831"/>
      <c r="T20" s="831"/>
      <c r="U20" s="831"/>
      <c r="V20" s="831"/>
      <c r="W20" s="831"/>
      <c r="X20" s="831"/>
      <c r="Y20" s="831"/>
      <c r="Z20" s="831"/>
      <c r="AA20" s="831" t="s">
        <v>193</v>
      </c>
      <c r="AB20" s="832"/>
    </row>
    <row r="21" spans="2:28" ht="20.25" customHeight="1">
      <c r="B21" s="837">
        <v>0.29166666666666702</v>
      </c>
      <c r="C21" s="838"/>
      <c r="D21" s="831"/>
      <c r="E21" s="831"/>
      <c r="F21" s="831">
        <v>0</v>
      </c>
      <c r="G21" s="831"/>
      <c r="H21" s="831"/>
      <c r="I21" s="831"/>
      <c r="J21" s="831"/>
      <c r="K21" s="831"/>
      <c r="L21" s="831"/>
      <c r="M21" s="831"/>
      <c r="N21" s="88">
        <v>432</v>
      </c>
      <c r="O21" s="831">
        <v>22</v>
      </c>
      <c r="P21" s="831"/>
      <c r="Q21" s="831">
        <v>23</v>
      </c>
      <c r="R21" s="831"/>
      <c r="S21" s="831"/>
      <c r="T21" s="831"/>
      <c r="U21" s="831"/>
      <c r="V21" s="831"/>
      <c r="W21" s="831"/>
      <c r="X21" s="831"/>
      <c r="Y21" s="831"/>
      <c r="Z21" s="831"/>
      <c r="AA21" s="831" t="s">
        <v>193</v>
      </c>
      <c r="AB21" s="832"/>
    </row>
    <row r="22" spans="2:28" ht="20.25" customHeight="1">
      <c r="B22" s="837">
        <v>0.33333333333333298</v>
      </c>
      <c r="C22" s="838"/>
      <c r="D22" s="831"/>
      <c r="E22" s="831"/>
      <c r="F22" s="831">
        <v>0</v>
      </c>
      <c r="G22" s="831"/>
      <c r="H22" s="831"/>
      <c r="I22" s="831"/>
      <c r="J22" s="831"/>
      <c r="K22" s="831"/>
      <c r="L22" s="831"/>
      <c r="M22" s="831"/>
      <c r="N22" s="88">
        <v>432</v>
      </c>
      <c r="O22" s="831">
        <v>22</v>
      </c>
      <c r="P22" s="831"/>
      <c r="Q22" s="831">
        <v>23</v>
      </c>
      <c r="R22" s="831"/>
      <c r="S22" s="831"/>
      <c r="T22" s="831"/>
      <c r="U22" s="831"/>
      <c r="V22" s="831"/>
      <c r="W22" s="831"/>
      <c r="X22" s="831"/>
      <c r="Y22" s="831"/>
      <c r="Z22" s="831"/>
      <c r="AA22" s="831" t="s">
        <v>193</v>
      </c>
      <c r="AB22" s="832"/>
    </row>
    <row r="23" spans="2:28" ht="20.25" customHeight="1">
      <c r="B23" s="837">
        <v>0.374999999999999</v>
      </c>
      <c r="C23" s="838"/>
      <c r="D23" s="831"/>
      <c r="E23" s="831"/>
      <c r="F23" s="831">
        <v>0</v>
      </c>
      <c r="G23" s="831"/>
      <c r="H23" s="831"/>
      <c r="I23" s="831"/>
      <c r="J23" s="831"/>
      <c r="K23" s="831"/>
      <c r="L23" s="831"/>
      <c r="M23" s="831"/>
      <c r="N23" s="88">
        <v>428</v>
      </c>
      <c r="O23" s="831">
        <v>22</v>
      </c>
      <c r="P23" s="831"/>
      <c r="Q23" s="831">
        <v>22</v>
      </c>
      <c r="R23" s="831"/>
      <c r="S23" s="831"/>
      <c r="T23" s="831"/>
      <c r="U23" s="831"/>
      <c r="V23" s="831"/>
      <c r="W23" s="831"/>
      <c r="X23" s="831"/>
      <c r="Y23" s="831"/>
      <c r="Z23" s="831"/>
      <c r="AA23" s="831" t="s">
        <v>194</v>
      </c>
      <c r="AB23" s="832"/>
    </row>
    <row r="24" spans="2:28" ht="20.25" customHeight="1">
      <c r="B24" s="837">
        <v>0.41666666666666502</v>
      </c>
      <c r="C24" s="838"/>
      <c r="D24" s="831"/>
      <c r="E24" s="831"/>
      <c r="F24" s="831">
        <v>0</v>
      </c>
      <c r="G24" s="831"/>
      <c r="H24" s="831"/>
      <c r="I24" s="831"/>
      <c r="J24" s="831"/>
      <c r="K24" s="831"/>
      <c r="L24" s="831"/>
      <c r="M24" s="831"/>
      <c r="N24" s="88">
        <v>435</v>
      </c>
      <c r="O24" s="831">
        <v>23</v>
      </c>
      <c r="P24" s="831"/>
      <c r="Q24" s="831">
        <v>22</v>
      </c>
      <c r="R24" s="831"/>
      <c r="S24" s="831"/>
      <c r="T24" s="831"/>
      <c r="U24" s="831"/>
      <c r="V24" s="831"/>
      <c r="W24" s="831"/>
      <c r="X24" s="831"/>
      <c r="Y24" s="831"/>
      <c r="Z24" s="831"/>
      <c r="AA24" s="831" t="s">
        <v>194</v>
      </c>
      <c r="AB24" s="832"/>
    </row>
    <row r="25" spans="2:28" ht="20.25" customHeight="1">
      <c r="B25" s="837">
        <v>0.45833333333333098</v>
      </c>
      <c r="C25" s="838"/>
      <c r="D25" s="831"/>
      <c r="E25" s="831"/>
      <c r="F25" s="831">
        <v>0</v>
      </c>
      <c r="G25" s="831"/>
      <c r="H25" s="831"/>
      <c r="I25" s="831"/>
      <c r="J25" s="831"/>
      <c r="K25" s="831"/>
      <c r="L25" s="831"/>
      <c r="M25" s="831"/>
      <c r="N25" s="88">
        <v>432</v>
      </c>
      <c r="O25" s="831">
        <v>23</v>
      </c>
      <c r="P25" s="831"/>
      <c r="Q25" s="835">
        <v>22</v>
      </c>
      <c r="R25" s="836"/>
      <c r="S25" s="831"/>
      <c r="T25" s="831"/>
      <c r="U25" s="831"/>
      <c r="V25" s="831"/>
      <c r="W25" s="831"/>
      <c r="X25" s="831"/>
      <c r="Y25" s="831"/>
      <c r="Z25" s="831"/>
      <c r="AA25" s="831" t="s">
        <v>194</v>
      </c>
      <c r="AB25" s="832"/>
    </row>
    <row r="26" spans="2:28" ht="20.25" customHeight="1">
      <c r="B26" s="837">
        <v>0.499999999999997</v>
      </c>
      <c r="C26" s="838"/>
      <c r="D26" s="831"/>
      <c r="E26" s="831"/>
      <c r="F26" s="831">
        <v>0</v>
      </c>
      <c r="G26" s="831"/>
      <c r="H26" s="831"/>
      <c r="I26" s="831"/>
      <c r="J26" s="831"/>
      <c r="K26" s="831"/>
      <c r="L26" s="831"/>
      <c r="M26" s="831"/>
      <c r="N26" s="88">
        <v>429</v>
      </c>
      <c r="O26" s="831">
        <v>24</v>
      </c>
      <c r="P26" s="831"/>
      <c r="Q26" s="831">
        <v>22</v>
      </c>
      <c r="R26" s="831"/>
      <c r="S26" s="831"/>
      <c r="T26" s="831"/>
      <c r="U26" s="831"/>
      <c r="V26" s="831"/>
      <c r="W26" s="831"/>
      <c r="X26" s="831"/>
      <c r="Y26" s="831"/>
      <c r="Z26" s="831"/>
      <c r="AA26" s="831" t="s">
        <v>194</v>
      </c>
      <c r="AB26" s="832"/>
    </row>
    <row r="27" spans="2:28" ht="20.25" customHeight="1">
      <c r="B27" s="837">
        <v>0.54166666666666297</v>
      </c>
      <c r="C27" s="838"/>
      <c r="D27" s="831"/>
      <c r="E27" s="831"/>
      <c r="F27" s="831">
        <v>0</v>
      </c>
      <c r="G27" s="831"/>
      <c r="H27" s="831"/>
      <c r="I27" s="831"/>
      <c r="J27" s="831"/>
      <c r="K27" s="831"/>
      <c r="L27" s="831"/>
      <c r="M27" s="831"/>
      <c r="N27" s="88">
        <v>432</v>
      </c>
      <c r="O27" s="831">
        <v>24</v>
      </c>
      <c r="P27" s="831"/>
      <c r="Q27" s="831">
        <v>22</v>
      </c>
      <c r="R27" s="831"/>
      <c r="S27" s="831"/>
      <c r="T27" s="831"/>
      <c r="U27" s="831"/>
      <c r="V27" s="831"/>
      <c r="W27" s="831"/>
      <c r="X27" s="831"/>
      <c r="Y27" s="831"/>
      <c r="Z27" s="831"/>
      <c r="AA27" s="831" t="s">
        <v>195</v>
      </c>
      <c r="AB27" s="832"/>
    </row>
    <row r="28" spans="2:28" ht="20.25" customHeight="1">
      <c r="B28" s="837">
        <v>0.58333333333332904</v>
      </c>
      <c r="C28" s="838"/>
      <c r="D28" s="831"/>
      <c r="E28" s="831"/>
      <c r="F28" s="831">
        <v>0</v>
      </c>
      <c r="G28" s="831"/>
      <c r="H28" s="831"/>
      <c r="I28" s="831"/>
      <c r="J28" s="831"/>
      <c r="K28" s="831"/>
      <c r="L28" s="831"/>
      <c r="M28" s="831"/>
      <c r="N28" s="88">
        <v>428</v>
      </c>
      <c r="O28" s="831">
        <v>24</v>
      </c>
      <c r="P28" s="831"/>
      <c r="Q28" s="831">
        <v>23</v>
      </c>
      <c r="R28" s="831"/>
      <c r="S28" s="831"/>
      <c r="T28" s="831"/>
      <c r="U28" s="831"/>
      <c r="V28" s="831"/>
      <c r="W28" s="831"/>
      <c r="X28" s="831"/>
      <c r="Y28" s="831"/>
      <c r="Z28" s="831"/>
      <c r="AA28" s="831" t="s">
        <v>195</v>
      </c>
      <c r="AB28" s="832"/>
    </row>
    <row r="29" spans="2:28" ht="20.25" customHeight="1">
      <c r="B29" s="837">
        <v>0.624999999999995</v>
      </c>
      <c r="C29" s="838"/>
      <c r="D29" s="831"/>
      <c r="E29" s="831"/>
      <c r="F29" s="831">
        <v>0</v>
      </c>
      <c r="G29" s="831"/>
      <c r="H29" s="831"/>
      <c r="I29" s="831"/>
      <c r="J29" s="831"/>
      <c r="K29" s="831"/>
      <c r="L29" s="831"/>
      <c r="M29" s="831"/>
      <c r="N29" s="88">
        <v>427</v>
      </c>
      <c r="O29" s="831">
        <v>25</v>
      </c>
      <c r="P29" s="831"/>
      <c r="Q29" s="831">
        <v>23</v>
      </c>
      <c r="R29" s="831"/>
      <c r="S29" s="831"/>
      <c r="T29" s="831"/>
      <c r="U29" s="831"/>
      <c r="V29" s="831"/>
      <c r="W29" s="831"/>
      <c r="X29" s="831"/>
      <c r="Y29" s="831"/>
      <c r="Z29" s="831"/>
      <c r="AA29" s="831" t="s">
        <v>195</v>
      </c>
      <c r="AB29" s="832"/>
    </row>
    <row r="30" spans="2:28" ht="20.25" customHeight="1">
      <c r="B30" s="837">
        <v>0.66666666666666097</v>
      </c>
      <c r="C30" s="838"/>
      <c r="D30" s="831"/>
      <c r="E30" s="831"/>
      <c r="F30" s="831">
        <v>0</v>
      </c>
      <c r="G30" s="831"/>
      <c r="H30" s="831"/>
      <c r="I30" s="831"/>
      <c r="J30" s="831"/>
      <c r="K30" s="831"/>
      <c r="L30" s="831"/>
      <c r="M30" s="831"/>
      <c r="N30" s="88">
        <v>427</v>
      </c>
      <c r="O30" s="831">
        <v>25</v>
      </c>
      <c r="P30" s="831"/>
      <c r="Q30" s="831">
        <v>23</v>
      </c>
      <c r="R30" s="831"/>
      <c r="S30" s="831"/>
      <c r="T30" s="831"/>
      <c r="U30" s="831"/>
      <c r="V30" s="831"/>
      <c r="W30" s="831"/>
      <c r="X30" s="831"/>
      <c r="Y30" s="831"/>
      <c r="Z30" s="831"/>
      <c r="AA30" s="831" t="s">
        <v>195</v>
      </c>
      <c r="AB30" s="832"/>
    </row>
    <row r="31" spans="2:28" ht="20.25" customHeight="1">
      <c r="B31" s="837">
        <v>0.70833333333332704</v>
      </c>
      <c r="C31" s="838"/>
      <c r="D31" s="831"/>
      <c r="E31" s="831"/>
      <c r="F31" s="831">
        <v>0</v>
      </c>
      <c r="G31" s="831"/>
      <c r="H31" s="831"/>
      <c r="I31" s="831"/>
      <c r="J31" s="831"/>
      <c r="K31" s="831"/>
      <c r="L31" s="831"/>
      <c r="M31" s="831"/>
      <c r="N31" s="88">
        <v>426</v>
      </c>
      <c r="O31" s="831">
        <v>25</v>
      </c>
      <c r="P31" s="831"/>
      <c r="Q31" s="831">
        <v>24</v>
      </c>
      <c r="R31" s="831"/>
      <c r="S31" s="831" t="s">
        <v>229</v>
      </c>
      <c r="T31" s="831"/>
      <c r="U31" s="831"/>
      <c r="V31" s="831"/>
      <c r="W31" s="831"/>
      <c r="X31" s="831"/>
      <c r="Y31" s="831"/>
      <c r="Z31" s="831"/>
      <c r="AA31" s="831" t="s">
        <v>193</v>
      </c>
      <c r="AB31" s="832"/>
    </row>
    <row r="32" spans="2:28" ht="20.25" customHeight="1">
      <c r="B32" s="837">
        <v>0.74999999999999301</v>
      </c>
      <c r="C32" s="838"/>
      <c r="D32" s="831"/>
      <c r="E32" s="831"/>
      <c r="F32" s="831">
        <v>0</v>
      </c>
      <c r="G32" s="831"/>
      <c r="H32" s="831"/>
      <c r="I32" s="831"/>
      <c r="J32" s="831"/>
      <c r="K32" s="831"/>
      <c r="L32" s="831"/>
      <c r="M32" s="831"/>
      <c r="N32" s="88">
        <v>120</v>
      </c>
      <c r="O32" s="831">
        <v>25</v>
      </c>
      <c r="P32" s="831"/>
      <c r="Q32" s="831">
        <v>24</v>
      </c>
      <c r="R32" s="831"/>
      <c r="S32" s="831"/>
      <c r="T32" s="831"/>
      <c r="U32" s="831"/>
      <c r="V32" s="831"/>
      <c r="W32" s="831"/>
      <c r="X32" s="831"/>
      <c r="Y32" s="831"/>
      <c r="Z32" s="831"/>
      <c r="AA32" s="831" t="s">
        <v>193</v>
      </c>
      <c r="AB32" s="832"/>
    </row>
    <row r="33" spans="2:28" ht="20.25" customHeight="1">
      <c r="B33" s="837">
        <v>0.79166666666665897</v>
      </c>
      <c r="C33" s="838"/>
      <c r="D33" s="831"/>
      <c r="E33" s="831"/>
      <c r="F33" s="831">
        <v>0</v>
      </c>
      <c r="G33" s="831"/>
      <c r="H33" s="831"/>
      <c r="I33" s="831"/>
      <c r="J33" s="831"/>
      <c r="K33" s="831"/>
      <c r="L33" s="831"/>
      <c r="M33" s="831"/>
      <c r="N33" s="88">
        <v>0</v>
      </c>
      <c r="O33" s="831">
        <v>25</v>
      </c>
      <c r="P33" s="831"/>
      <c r="Q33" s="831">
        <v>24</v>
      </c>
      <c r="R33" s="831"/>
      <c r="S33" s="831" t="s">
        <v>230</v>
      </c>
      <c r="T33" s="831"/>
      <c r="U33" s="831"/>
      <c r="V33" s="831"/>
      <c r="W33" s="831"/>
      <c r="X33" s="831"/>
      <c r="Y33" s="831"/>
      <c r="Z33" s="831"/>
      <c r="AA33" s="831" t="s">
        <v>193</v>
      </c>
      <c r="AB33" s="832"/>
    </row>
    <row r="34" spans="2:28" ht="20.25" customHeight="1">
      <c r="B34" s="837">
        <v>0.83333333333332604</v>
      </c>
      <c r="C34" s="838"/>
      <c r="D34" s="831"/>
      <c r="E34" s="831"/>
      <c r="F34" s="831">
        <v>0</v>
      </c>
      <c r="G34" s="831"/>
      <c r="H34" s="831"/>
      <c r="I34" s="831"/>
      <c r="J34" s="831"/>
      <c r="K34" s="831"/>
      <c r="L34" s="831"/>
      <c r="M34" s="831"/>
      <c r="N34" s="88">
        <v>256</v>
      </c>
      <c r="O34" s="831">
        <v>24</v>
      </c>
      <c r="P34" s="831"/>
      <c r="Q34" s="831">
        <v>24</v>
      </c>
      <c r="R34" s="831"/>
      <c r="S34" s="831"/>
      <c r="T34" s="831"/>
      <c r="U34" s="831"/>
      <c r="V34" s="831"/>
      <c r="W34" s="831"/>
      <c r="X34" s="831"/>
      <c r="Y34" s="831"/>
      <c r="Z34" s="831"/>
      <c r="AA34" s="831" t="s">
        <v>193</v>
      </c>
      <c r="AB34" s="832"/>
    </row>
    <row r="35" spans="2:28" ht="20.25" customHeight="1">
      <c r="B35" s="837">
        <v>0.8833333333333333</v>
      </c>
      <c r="C35" s="838"/>
      <c r="D35" s="831"/>
      <c r="E35" s="831"/>
      <c r="F35" s="831">
        <v>0</v>
      </c>
      <c r="G35" s="831"/>
      <c r="H35" s="831"/>
      <c r="I35" s="831"/>
      <c r="J35" s="831"/>
      <c r="K35" s="831"/>
      <c r="L35" s="831"/>
      <c r="M35" s="831"/>
      <c r="N35" s="88">
        <v>464</v>
      </c>
      <c r="O35" s="831">
        <v>24</v>
      </c>
      <c r="P35" s="831"/>
      <c r="Q35" s="831">
        <v>24</v>
      </c>
      <c r="R35" s="831"/>
      <c r="S35" s="831" t="s">
        <v>235</v>
      </c>
      <c r="T35" s="831"/>
      <c r="U35" s="831"/>
      <c r="V35" s="831"/>
      <c r="W35" s="831"/>
      <c r="X35" s="831"/>
      <c r="Y35" s="831"/>
      <c r="Z35" s="831"/>
      <c r="AA35" s="831" t="s">
        <v>194</v>
      </c>
      <c r="AB35" s="832"/>
    </row>
    <row r="36" spans="2:28" ht="20.25" customHeight="1">
      <c r="B36" s="837"/>
      <c r="C36" s="838"/>
      <c r="D36" s="831"/>
      <c r="E36" s="831"/>
      <c r="F36" s="831"/>
      <c r="G36" s="831"/>
      <c r="H36" s="831"/>
      <c r="I36" s="831"/>
      <c r="J36" s="831"/>
      <c r="K36" s="831"/>
      <c r="L36" s="831"/>
      <c r="M36" s="831"/>
      <c r="N36" s="88"/>
      <c r="O36" s="831"/>
      <c r="P36" s="831"/>
      <c r="Q36" s="831"/>
      <c r="R36" s="831"/>
      <c r="S36" s="831" t="s">
        <v>236</v>
      </c>
      <c r="T36" s="831"/>
      <c r="U36" s="831"/>
      <c r="V36" s="831"/>
      <c r="W36" s="831"/>
      <c r="X36" s="831"/>
      <c r="Y36" s="831"/>
      <c r="Z36" s="831"/>
      <c r="AA36" s="831"/>
      <c r="AB36" s="832"/>
    </row>
    <row r="37" spans="2:28" ht="20.25" customHeight="1">
      <c r="B37" s="837"/>
      <c r="C37" s="838"/>
      <c r="D37" s="831"/>
      <c r="E37" s="831"/>
      <c r="F37" s="831"/>
      <c r="G37" s="831"/>
      <c r="H37" s="831"/>
      <c r="I37" s="831"/>
      <c r="J37" s="831"/>
      <c r="K37" s="831"/>
      <c r="L37" s="831"/>
      <c r="M37" s="831"/>
      <c r="N37" s="88"/>
      <c r="O37" s="831"/>
      <c r="P37" s="831"/>
      <c r="Q37" s="831"/>
      <c r="R37" s="831"/>
      <c r="S37" s="831"/>
      <c r="T37" s="831"/>
      <c r="U37" s="831"/>
      <c r="V37" s="831"/>
      <c r="W37" s="831"/>
      <c r="X37" s="831"/>
      <c r="Y37" s="831"/>
      <c r="Z37" s="831"/>
      <c r="AA37" s="831"/>
      <c r="AB37" s="832"/>
    </row>
    <row r="38" spans="2:28" ht="20.25" customHeight="1">
      <c r="B38" s="837"/>
      <c r="C38" s="838"/>
      <c r="D38" s="831"/>
      <c r="E38" s="831"/>
      <c r="F38" s="831"/>
      <c r="G38" s="831"/>
      <c r="H38" s="831"/>
      <c r="I38" s="831"/>
      <c r="J38" s="831"/>
      <c r="K38" s="831"/>
      <c r="L38" s="831"/>
      <c r="M38" s="831"/>
      <c r="N38" s="88"/>
      <c r="O38" s="831"/>
      <c r="P38" s="831"/>
      <c r="Q38" s="831"/>
      <c r="R38" s="831"/>
      <c r="S38" s="831"/>
      <c r="T38" s="831"/>
      <c r="U38" s="831"/>
      <c r="V38" s="831"/>
      <c r="W38" s="831"/>
      <c r="X38" s="831"/>
      <c r="Y38" s="831"/>
      <c r="Z38" s="831"/>
      <c r="AA38" s="831"/>
      <c r="AB38" s="832"/>
    </row>
    <row r="39" spans="2:28" ht="20.25" customHeight="1">
      <c r="B39" s="837"/>
      <c r="C39" s="838"/>
      <c r="D39" s="831"/>
      <c r="E39" s="831"/>
      <c r="F39" s="831"/>
      <c r="G39" s="831"/>
      <c r="H39" s="831"/>
      <c r="I39" s="831"/>
      <c r="J39" s="831"/>
      <c r="K39" s="831"/>
      <c r="L39" s="831"/>
      <c r="M39" s="831"/>
      <c r="N39" s="88"/>
      <c r="O39" s="831"/>
      <c r="P39" s="831"/>
      <c r="Q39" s="831"/>
      <c r="R39" s="831"/>
      <c r="S39" s="831"/>
      <c r="T39" s="831"/>
      <c r="U39" s="831"/>
      <c r="V39" s="831"/>
      <c r="W39" s="831"/>
      <c r="X39" s="831"/>
      <c r="Y39" s="831"/>
      <c r="Z39" s="831"/>
      <c r="AA39" s="831"/>
      <c r="AB39" s="832"/>
    </row>
    <row r="40" spans="2:28" ht="20.25" customHeight="1">
      <c r="B40" s="837"/>
      <c r="C40" s="838"/>
      <c r="D40" s="831"/>
      <c r="E40" s="831"/>
      <c r="F40" s="831"/>
      <c r="G40" s="831"/>
      <c r="H40" s="831"/>
      <c r="I40" s="831"/>
      <c r="J40" s="831"/>
      <c r="K40" s="831"/>
      <c r="L40" s="831"/>
      <c r="M40" s="831"/>
      <c r="N40" s="88"/>
      <c r="O40" s="831"/>
      <c r="P40" s="831"/>
      <c r="Q40" s="831"/>
      <c r="R40" s="831"/>
      <c r="S40" s="831"/>
      <c r="T40" s="831"/>
      <c r="U40" s="831"/>
      <c r="V40" s="831"/>
      <c r="W40" s="831"/>
      <c r="X40" s="831"/>
      <c r="Y40" s="831"/>
      <c r="Z40" s="831"/>
      <c r="AA40" s="831"/>
      <c r="AB40" s="832"/>
    </row>
    <row r="41" spans="2:28" ht="20.25" customHeight="1">
      <c r="B41" s="837"/>
      <c r="C41" s="838"/>
      <c r="D41" s="831"/>
      <c r="E41" s="831"/>
      <c r="F41" s="831"/>
      <c r="G41" s="831"/>
      <c r="H41" s="831"/>
      <c r="I41" s="831"/>
      <c r="J41" s="831"/>
      <c r="K41" s="831"/>
      <c r="L41" s="831"/>
      <c r="M41" s="831"/>
      <c r="N41" s="88"/>
      <c r="O41" s="831"/>
      <c r="P41" s="831"/>
      <c r="Q41" s="831"/>
      <c r="R41" s="831"/>
      <c r="S41" s="831"/>
      <c r="T41" s="831"/>
      <c r="U41" s="831"/>
      <c r="V41" s="831"/>
      <c r="W41" s="831"/>
      <c r="X41" s="831"/>
      <c r="Y41" s="831"/>
      <c r="Z41" s="831"/>
      <c r="AA41" s="831" t="s">
        <v>193</v>
      </c>
      <c r="AB41" s="832"/>
    </row>
    <row r="42" spans="2:28" ht="12.75">
      <c r="B42" s="78"/>
      <c r="C42" s="79"/>
      <c r="D42" s="79"/>
      <c r="E42" s="79"/>
      <c r="F42" s="79"/>
      <c r="G42" s="79"/>
      <c r="H42" s="79"/>
      <c r="I42" s="79"/>
      <c r="J42" s="79"/>
      <c r="K42" s="79"/>
      <c r="L42" s="79"/>
      <c r="M42" s="79"/>
      <c r="N42" s="79"/>
      <c r="O42" s="79"/>
      <c r="P42" s="79"/>
      <c r="Q42" s="79"/>
      <c r="R42" s="79"/>
      <c r="S42" s="79"/>
      <c r="T42" s="79"/>
      <c r="U42" s="79"/>
      <c r="V42" s="79"/>
      <c r="W42" s="79"/>
      <c r="X42" s="79"/>
      <c r="Y42" s="79"/>
      <c r="Z42" s="79"/>
      <c r="AA42" s="79"/>
      <c r="AB42" s="80"/>
    </row>
    <row r="43" spans="2:28" ht="12.75">
      <c r="B43" s="78"/>
      <c r="C43" s="79"/>
      <c r="D43" s="79"/>
      <c r="E43" s="79"/>
      <c r="F43" s="79"/>
      <c r="G43" s="79"/>
      <c r="H43" s="79"/>
      <c r="I43" s="79"/>
      <c r="J43" s="79"/>
      <c r="K43" s="79"/>
      <c r="L43" s="79"/>
      <c r="M43" s="79"/>
      <c r="N43" s="79"/>
      <c r="O43" s="79"/>
      <c r="P43" s="79"/>
      <c r="Q43" s="79"/>
      <c r="R43" s="79"/>
      <c r="S43" s="79"/>
      <c r="T43" s="79"/>
      <c r="U43" s="79"/>
      <c r="V43" s="79"/>
      <c r="W43" s="79"/>
      <c r="X43" s="79"/>
      <c r="Y43" s="79"/>
      <c r="Z43" s="79"/>
      <c r="AA43" s="79"/>
      <c r="AB43" s="80"/>
    </row>
    <row r="44" spans="2:28" ht="12.75">
      <c r="B44" s="78"/>
      <c r="C44" s="839"/>
      <c r="D44" s="839"/>
      <c r="E44" s="839"/>
      <c r="F44" s="839"/>
      <c r="G44" s="79"/>
      <c r="H44" s="79"/>
      <c r="I44" s="79"/>
      <c r="J44" s="79"/>
      <c r="K44" s="79"/>
      <c r="L44" s="79"/>
      <c r="M44" s="79"/>
      <c r="N44" s="79"/>
      <c r="O44" s="79"/>
      <c r="P44" s="79"/>
      <c r="Q44" s="840"/>
      <c r="R44" s="840"/>
      <c r="S44" s="840"/>
      <c r="T44" s="840"/>
      <c r="U44" s="840"/>
      <c r="V44" s="840"/>
      <c r="W44" s="79"/>
      <c r="X44" s="840"/>
      <c r="Y44" s="840"/>
      <c r="Z44" s="840"/>
      <c r="AA44" s="840"/>
      <c r="AB44" s="841"/>
    </row>
    <row r="45" spans="2:28" ht="12.75">
      <c r="B45" s="842" t="s">
        <v>37</v>
      </c>
      <c r="C45" s="843"/>
      <c r="D45" s="843"/>
      <c r="E45" s="843"/>
      <c r="F45" s="843"/>
      <c r="G45" s="843"/>
      <c r="H45" s="79"/>
      <c r="I45" s="843" t="s">
        <v>125</v>
      </c>
      <c r="J45" s="843"/>
      <c r="K45" s="843"/>
      <c r="L45" s="843"/>
      <c r="M45" s="843"/>
      <c r="N45" s="843"/>
      <c r="O45" s="843"/>
      <c r="P45" s="79"/>
      <c r="Q45" s="843" t="s">
        <v>126</v>
      </c>
      <c r="R45" s="843"/>
      <c r="S45" s="843"/>
      <c r="T45" s="843"/>
      <c r="U45" s="843"/>
      <c r="V45" s="843"/>
      <c r="W45" s="79"/>
      <c r="X45" s="843" t="s">
        <v>23</v>
      </c>
      <c r="Y45" s="843"/>
      <c r="Z45" s="843"/>
      <c r="AA45" s="843"/>
      <c r="AB45" s="844"/>
    </row>
    <row r="46" spans="2:28" ht="12" customHeight="1">
      <c r="B46" s="78"/>
      <c r="C46" s="79"/>
      <c r="D46" s="79"/>
      <c r="E46" s="79"/>
      <c r="F46" s="79"/>
      <c r="G46" s="79"/>
      <c r="H46" s="79"/>
      <c r="I46" s="79"/>
      <c r="J46" s="79"/>
      <c r="K46" s="79"/>
      <c r="L46" s="79"/>
      <c r="M46" s="79"/>
      <c r="N46" s="79"/>
      <c r="O46" s="79"/>
      <c r="P46" s="79"/>
      <c r="Q46" s="79"/>
      <c r="R46" s="79"/>
      <c r="S46" s="79"/>
      <c r="T46" s="79"/>
      <c r="U46" s="79"/>
      <c r="V46" s="79"/>
      <c r="W46" s="79"/>
      <c r="X46" s="79"/>
      <c r="Y46" s="79"/>
      <c r="Z46" s="79"/>
      <c r="AA46" s="79"/>
      <c r="AB46" s="80"/>
    </row>
    <row r="47" spans="2:28" ht="11.25" customHeight="1" thickBot="1">
      <c r="B47" s="89"/>
      <c r="C47" s="90"/>
      <c r="D47" s="90"/>
      <c r="E47" s="90"/>
      <c r="F47" s="90"/>
      <c r="G47" s="90"/>
      <c r="H47" s="90"/>
      <c r="I47" s="90"/>
      <c r="J47" s="90"/>
      <c r="K47" s="90"/>
      <c r="L47" s="90"/>
      <c r="M47" s="90"/>
      <c r="N47" s="90"/>
      <c r="O47" s="90"/>
      <c r="P47" s="90"/>
      <c r="Q47" s="90"/>
      <c r="R47" s="90"/>
      <c r="S47" s="90"/>
      <c r="T47" s="90"/>
      <c r="U47" s="90"/>
      <c r="V47" s="90"/>
      <c r="W47" s="90"/>
      <c r="X47" s="90"/>
      <c r="Y47" s="90"/>
      <c r="Z47" s="90"/>
      <c r="AA47" s="90"/>
      <c r="AB47" s="91"/>
    </row>
    <row r="48" spans="2:28" ht="9" customHeight="1"/>
  </sheetData>
  <mergeCells count="286">
    <mergeCell ref="C44:F44"/>
    <mergeCell ref="Q44:V44"/>
    <mergeCell ref="X44:AB44"/>
    <mergeCell ref="B45:G45"/>
    <mergeCell ref="I45:O45"/>
    <mergeCell ref="Q45:V45"/>
    <mergeCell ref="X45:AB45"/>
    <mergeCell ref="AA40:AB40"/>
    <mergeCell ref="B41:C41"/>
    <mergeCell ref="D41:E41"/>
    <mergeCell ref="F41:G41"/>
    <mergeCell ref="H41:I41"/>
    <mergeCell ref="J41:K41"/>
    <mergeCell ref="L41:M41"/>
    <mergeCell ref="O41:P41"/>
    <mergeCell ref="Q41:R41"/>
    <mergeCell ref="S41:Z41"/>
    <mergeCell ref="AA41:AB41"/>
    <mergeCell ref="B40:C40"/>
    <mergeCell ref="D40:E40"/>
    <mergeCell ref="F40:G40"/>
    <mergeCell ref="H40:I40"/>
    <mergeCell ref="J40:K40"/>
    <mergeCell ref="L40:M40"/>
    <mergeCell ref="O40:P40"/>
    <mergeCell ref="Q40:R40"/>
    <mergeCell ref="S40:Z40"/>
    <mergeCell ref="AA38:AB38"/>
    <mergeCell ref="B39:C39"/>
    <mergeCell ref="D39:E39"/>
    <mergeCell ref="F39:G39"/>
    <mergeCell ref="H39:I39"/>
    <mergeCell ref="J39:K39"/>
    <mergeCell ref="L39:M39"/>
    <mergeCell ref="O39:P39"/>
    <mergeCell ref="Q39:R39"/>
    <mergeCell ref="S39:Z39"/>
    <mergeCell ref="AA39:AB39"/>
    <mergeCell ref="B38:C38"/>
    <mergeCell ref="D38:E38"/>
    <mergeCell ref="F38:G38"/>
    <mergeCell ref="H38:I38"/>
    <mergeCell ref="J38:K38"/>
    <mergeCell ref="L38:M38"/>
    <mergeCell ref="O38:P38"/>
    <mergeCell ref="Q38:R38"/>
    <mergeCell ref="S38:Z38"/>
    <mergeCell ref="AA36:AB36"/>
    <mergeCell ref="B37:C37"/>
    <mergeCell ref="D37:E37"/>
    <mergeCell ref="F37:G37"/>
    <mergeCell ref="H37:I37"/>
    <mergeCell ref="J37:K37"/>
    <mergeCell ref="L37:M37"/>
    <mergeCell ref="O37:P37"/>
    <mergeCell ref="Q37:R37"/>
    <mergeCell ref="S37:Z37"/>
    <mergeCell ref="AA37:AB37"/>
    <mergeCell ref="B36:C36"/>
    <mergeCell ref="D36:E36"/>
    <mergeCell ref="F36:G36"/>
    <mergeCell ref="H36:I36"/>
    <mergeCell ref="J36:K36"/>
    <mergeCell ref="L36:M36"/>
    <mergeCell ref="O36:P36"/>
    <mergeCell ref="Q36:R36"/>
    <mergeCell ref="S36:Z36"/>
    <mergeCell ref="AA34:AB34"/>
    <mergeCell ref="B35:C35"/>
    <mergeCell ref="D35:E35"/>
    <mergeCell ref="F35:G35"/>
    <mergeCell ref="H35:I35"/>
    <mergeCell ref="J35:K35"/>
    <mergeCell ref="L35:M35"/>
    <mergeCell ref="O35:P35"/>
    <mergeCell ref="Q35:R35"/>
    <mergeCell ref="S35:Z35"/>
    <mergeCell ref="AA35:AB35"/>
    <mergeCell ref="B34:C34"/>
    <mergeCell ref="D34:E34"/>
    <mergeCell ref="F34:G34"/>
    <mergeCell ref="H34:I34"/>
    <mergeCell ref="J34:K34"/>
    <mergeCell ref="L34:M34"/>
    <mergeCell ref="O34:P34"/>
    <mergeCell ref="Q34:R34"/>
    <mergeCell ref="S34:Z34"/>
    <mergeCell ref="AA32:AB32"/>
    <mergeCell ref="B33:C33"/>
    <mergeCell ref="D33:E33"/>
    <mergeCell ref="F33:G33"/>
    <mergeCell ref="H33:I33"/>
    <mergeCell ref="J33:K33"/>
    <mergeCell ref="L33:M33"/>
    <mergeCell ref="O33:P33"/>
    <mergeCell ref="Q33:R33"/>
    <mergeCell ref="S33:Z33"/>
    <mergeCell ref="AA33:AB33"/>
    <mergeCell ref="B32:C32"/>
    <mergeCell ref="D32:E32"/>
    <mergeCell ref="F32:G32"/>
    <mergeCell ref="H32:I32"/>
    <mergeCell ref="J32:K32"/>
    <mergeCell ref="L32:M32"/>
    <mergeCell ref="O32:P32"/>
    <mergeCell ref="Q32:R32"/>
    <mergeCell ref="S32:Z32"/>
    <mergeCell ref="AA30:AB30"/>
    <mergeCell ref="B31:C31"/>
    <mergeCell ref="D31:E31"/>
    <mergeCell ref="F31:G31"/>
    <mergeCell ref="H31:I31"/>
    <mergeCell ref="J31:K31"/>
    <mergeCell ref="L31:M31"/>
    <mergeCell ref="O31:P31"/>
    <mergeCell ref="Q31:R31"/>
    <mergeCell ref="S31:Z31"/>
    <mergeCell ref="AA31:AB31"/>
    <mergeCell ref="B30:C30"/>
    <mergeCell ref="D30:E30"/>
    <mergeCell ref="F30:G30"/>
    <mergeCell ref="H30:I30"/>
    <mergeCell ref="J30:K30"/>
    <mergeCell ref="L30:M30"/>
    <mergeCell ref="O30:P30"/>
    <mergeCell ref="Q30:R30"/>
    <mergeCell ref="S30:Z30"/>
    <mergeCell ref="AA28:AB28"/>
    <mergeCell ref="B29:C29"/>
    <mergeCell ref="D29:E29"/>
    <mergeCell ref="F29:G29"/>
    <mergeCell ref="H29:I29"/>
    <mergeCell ref="J29:K29"/>
    <mergeCell ref="L29:M29"/>
    <mergeCell ref="O29:P29"/>
    <mergeCell ref="Q29:R29"/>
    <mergeCell ref="S29:Z29"/>
    <mergeCell ref="AA29:AB29"/>
    <mergeCell ref="B28:C28"/>
    <mergeCell ref="D28:E28"/>
    <mergeCell ref="F28:G28"/>
    <mergeCell ref="H28:I28"/>
    <mergeCell ref="J28:K28"/>
    <mergeCell ref="L28:M28"/>
    <mergeCell ref="O28:P28"/>
    <mergeCell ref="Q28:R28"/>
    <mergeCell ref="S28:Z28"/>
    <mergeCell ref="AA26:AB26"/>
    <mergeCell ref="B27:C27"/>
    <mergeCell ref="D27:E27"/>
    <mergeCell ref="F27:G27"/>
    <mergeCell ref="H27:I27"/>
    <mergeCell ref="J27:K27"/>
    <mergeCell ref="L27:M27"/>
    <mergeCell ref="O27:P27"/>
    <mergeCell ref="Q27:R27"/>
    <mergeCell ref="S27:Z27"/>
    <mergeCell ref="AA27:AB27"/>
    <mergeCell ref="B26:C26"/>
    <mergeCell ref="D26:E26"/>
    <mergeCell ref="F26:G26"/>
    <mergeCell ref="H26:I26"/>
    <mergeCell ref="J26:K26"/>
    <mergeCell ref="L26:M26"/>
    <mergeCell ref="O26:P26"/>
    <mergeCell ref="Q26:R26"/>
    <mergeCell ref="S26:Z26"/>
    <mergeCell ref="AA24:AB24"/>
    <mergeCell ref="B25:C25"/>
    <mergeCell ref="D25:E25"/>
    <mergeCell ref="F25:G25"/>
    <mergeCell ref="H25:I25"/>
    <mergeCell ref="J25:K25"/>
    <mergeCell ref="L25:M25"/>
    <mergeCell ref="O25:P25"/>
    <mergeCell ref="Q25:R25"/>
    <mergeCell ref="S25:Z25"/>
    <mergeCell ref="AA25:AB25"/>
    <mergeCell ref="B24:C24"/>
    <mergeCell ref="D24:E24"/>
    <mergeCell ref="F24:G24"/>
    <mergeCell ref="H24:I24"/>
    <mergeCell ref="J24:K24"/>
    <mergeCell ref="L24:M24"/>
    <mergeCell ref="O24:P24"/>
    <mergeCell ref="Q24:R24"/>
    <mergeCell ref="S24:Z24"/>
    <mergeCell ref="AA22:AB22"/>
    <mergeCell ref="B23:C23"/>
    <mergeCell ref="D23:E23"/>
    <mergeCell ref="F23:G23"/>
    <mergeCell ref="H23:I23"/>
    <mergeCell ref="J23:K23"/>
    <mergeCell ref="L23:M23"/>
    <mergeCell ref="O23:P23"/>
    <mergeCell ref="Q23:R23"/>
    <mergeCell ref="S23:Z23"/>
    <mergeCell ref="AA23:AB23"/>
    <mergeCell ref="B22:C22"/>
    <mergeCell ref="D22:E22"/>
    <mergeCell ref="F22:G22"/>
    <mergeCell ref="H22:I22"/>
    <mergeCell ref="J22:K22"/>
    <mergeCell ref="L22:M22"/>
    <mergeCell ref="O22:P22"/>
    <mergeCell ref="Q22:R22"/>
    <mergeCell ref="S22:Z22"/>
    <mergeCell ref="AA20:AB20"/>
    <mergeCell ref="B21:C21"/>
    <mergeCell ref="D21:E21"/>
    <mergeCell ref="F21:G21"/>
    <mergeCell ref="H21:I21"/>
    <mergeCell ref="J21:K21"/>
    <mergeCell ref="L21:M21"/>
    <mergeCell ref="O21:P21"/>
    <mergeCell ref="Q21:R21"/>
    <mergeCell ref="S21:Z21"/>
    <mergeCell ref="AA21:AB21"/>
    <mergeCell ref="B20:C20"/>
    <mergeCell ref="D20:E20"/>
    <mergeCell ref="F20:G20"/>
    <mergeCell ref="H20:I20"/>
    <mergeCell ref="J20:K20"/>
    <mergeCell ref="L20:M20"/>
    <mergeCell ref="O20:P20"/>
    <mergeCell ref="Q20:R20"/>
    <mergeCell ref="S20:Z20"/>
    <mergeCell ref="S18:Z18"/>
    <mergeCell ref="AA18:AB18"/>
    <mergeCell ref="B19:C19"/>
    <mergeCell ref="D19:E19"/>
    <mergeCell ref="F19:G19"/>
    <mergeCell ref="H19:I19"/>
    <mergeCell ref="J19:K19"/>
    <mergeCell ref="L19:M19"/>
    <mergeCell ref="O19:P19"/>
    <mergeCell ref="Q19:R19"/>
    <mergeCell ref="S19:Z19"/>
    <mergeCell ref="AA19:AB19"/>
    <mergeCell ref="B18:C18"/>
    <mergeCell ref="D18:E18"/>
    <mergeCell ref="F18:G18"/>
    <mergeCell ref="H18:I18"/>
    <mergeCell ref="J18:K18"/>
    <mergeCell ref="L18:M18"/>
    <mergeCell ref="O18:P18"/>
    <mergeCell ref="Q18:R18"/>
    <mergeCell ref="O15:R15"/>
    <mergeCell ref="S15:Z17"/>
    <mergeCell ref="AA15:AB17"/>
    <mergeCell ref="B16:C16"/>
    <mergeCell ref="D16:M16"/>
    <mergeCell ref="O16:P16"/>
    <mergeCell ref="Q16:R16"/>
    <mergeCell ref="O17:P17"/>
    <mergeCell ref="Q17:R17"/>
    <mergeCell ref="B17:C17"/>
    <mergeCell ref="D17:E17"/>
    <mergeCell ref="F17:G17"/>
    <mergeCell ref="H17:I17"/>
    <mergeCell ref="J17:K17"/>
    <mergeCell ref="L17:M17"/>
    <mergeCell ref="B15:C15"/>
    <mergeCell ref="D15:M15"/>
    <mergeCell ref="N15:N16"/>
    <mergeCell ref="Q10:AB10"/>
    <mergeCell ref="Q11:AB11"/>
    <mergeCell ref="B13:AB13"/>
    <mergeCell ref="D5:J5"/>
    <mergeCell ref="M5:S5"/>
    <mergeCell ref="W5:AB5"/>
    <mergeCell ref="I6:M6"/>
    <mergeCell ref="X6:AB6"/>
    <mergeCell ref="F7:G7"/>
    <mergeCell ref="L7:M7"/>
    <mergeCell ref="T7:U7"/>
    <mergeCell ref="AA7:AB7"/>
    <mergeCell ref="B2:B3"/>
    <mergeCell ref="G2:V3"/>
    <mergeCell ref="W2:Y2"/>
    <mergeCell ref="Z2:AB2"/>
    <mergeCell ref="W3:Y3"/>
    <mergeCell ref="Z3:AB3"/>
    <mergeCell ref="I8:M8"/>
    <mergeCell ref="X8:AB8"/>
    <mergeCell ref="Q9:AB9"/>
  </mergeCells>
  <printOptions horizontalCentered="1" verticalCentered="1"/>
  <pageMargins left="0.31496062992125984" right="0.31496062992125984" top="0.35433070866141736" bottom="0.15748031496062992" header="0.31496062992125984" footer="0.31496062992125984"/>
  <pageSetup paperSize="9" scale="85"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B1:AD48"/>
  <sheetViews>
    <sheetView workbookViewId="0"/>
  </sheetViews>
  <sheetFormatPr baseColWidth="10" defaultColWidth="0" defaultRowHeight="0" customHeight="1" zeroHeight="1"/>
  <cols>
    <col min="1" max="1" width="1.28515625" style="74" customWidth="1"/>
    <col min="2" max="3" width="4.28515625" style="74" customWidth="1"/>
    <col min="4" max="7" width="3.7109375" style="74" customWidth="1"/>
    <col min="8" max="8" width="3.85546875" style="74" customWidth="1"/>
    <col min="9" max="13" width="3.7109375" style="74" customWidth="1"/>
    <col min="14" max="14" width="11" style="74" customWidth="1"/>
    <col min="15" max="28" width="3.7109375" style="74" customWidth="1"/>
    <col min="29" max="29" width="1.28515625" style="74" customWidth="1"/>
    <col min="30" max="30" width="3.7109375" style="74" hidden="1" customWidth="1"/>
    <col min="31" max="16384" width="0" style="74" hidden="1"/>
  </cols>
  <sheetData>
    <row r="1" spans="2:28" ht="9" customHeight="1" thickBot="1"/>
    <row r="2" spans="2:28" ht="19.5" customHeight="1">
      <c r="B2" s="782"/>
      <c r="C2" s="75"/>
      <c r="D2" s="75"/>
      <c r="E2" s="75"/>
      <c r="F2" s="76"/>
      <c r="G2" s="784" t="s">
        <v>103</v>
      </c>
      <c r="H2" s="784"/>
      <c r="I2" s="784"/>
      <c r="J2" s="784"/>
      <c r="K2" s="784"/>
      <c r="L2" s="784"/>
      <c r="M2" s="784"/>
      <c r="N2" s="784"/>
      <c r="O2" s="784"/>
      <c r="P2" s="784"/>
      <c r="Q2" s="784"/>
      <c r="R2" s="784"/>
      <c r="S2" s="784"/>
      <c r="T2" s="784"/>
      <c r="U2" s="784"/>
      <c r="V2" s="785"/>
      <c r="W2" s="788" t="s">
        <v>104</v>
      </c>
      <c r="X2" s="788"/>
      <c r="Y2" s="788"/>
      <c r="Z2" s="789" t="s">
        <v>2</v>
      </c>
      <c r="AA2" s="789"/>
      <c r="AB2" s="790"/>
    </row>
    <row r="3" spans="2:28" ht="18" customHeight="1" thickBot="1">
      <c r="B3" s="783"/>
      <c r="C3" s="77"/>
      <c r="D3" s="77"/>
      <c r="E3" s="77"/>
      <c r="F3" s="77"/>
      <c r="G3" s="786"/>
      <c r="H3" s="786"/>
      <c r="I3" s="786"/>
      <c r="J3" s="786"/>
      <c r="K3" s="786"/>
      <c r="L3" s="786"/>
      <c r="M3" s="786"/>
      <c r="N3" s="786"/>
      <c r="O3" s="786"/>
      <c r="P3" s="786"/>
      <c r="Q3" s="786"/>
      <c r="R3" s="786"/>
      <c r="S3" s="786"/>
      <c r="T3" s="786"/>
      <c r="U3" s="786"/>
      <c r="V3" s="787"/>
      <c r="W3" s="791" t="s">
        <v>3</v>
      </c>
      <c r="X3" s="791"/>
      <c r="Y3" s="791"/>
      <c r="Z3" s="792">
        <v>42917</v>
      </c>
      <c r="AA3" s="792"/>
      <c r="AB3" s="793"/>
    </row>
    <row r="4" spans="2:28" ht="12.75">
      <c r="B4" s="78"/>
      <c r="C4" s="79"/>
      <c r="D4" s="79"/>
      <c r="E4" s="79"/>
      <c r="F4" s="79"/>
      <c r="G4" s="79"/>
      <c r="H4" s="79"/>
      <c r="I4" s="79"/>
      <c r="J4" s="79"/>
      <c r="K4" s="79"/>
      <c r="L4" s="79"/>
      <c r="M4" s="79"/>
      <c r="N4" s="79"/>
      <c r="O4" s="79"/>
      <c r="P4" s="79"/>
      <c r="Q4" s="79"/>
      <c r="R4" s="79"/>
      <c r="S4" s="79"/>
      <c r="T4" s="79"/>
      <c r="U4" s="79"/>
      <c r="V4" s="79"/>
      <c r="W4" s="79"/>
      <c r="X4" s="79"/>
      <c r="Y4" s="79"/>
      <c r="Z4" s="79"/>
      <c r="AA4" s="79"/>
      <c r="AB4" s="80"/>
    </row>
    <row r="5" spans="2:28" ht="20.25" customHeight="1">
      <c r="B5" s="68"/>
      <c r="C5" s="81" t="s">
        <v>97</v>
      </c>
      <c r="D5" s="802" t="s">
        <v>6</v>
      </c>
      <c r="E5" s="802"/>
      <c r="F5" s="802"/>
      <c r="G5" s="802"/>
      <c r="H5" s="802"/>
      <c r="I5" s="802"/>
      <c r="J5" s="802"/>
      <c r="K5" s="82"/>
      <c r="L5" s="81" t="s">
        <v>96</v>
      </c>
      <c r="M5" s="802">
        <f>'Data Entry'!B13</f>
        <v>0</v>
      </c>
      <c r="N5" s="802"/>
      <c r="O5" s="802"/>
      <c r="P5" s="802"/>
      <c r="Q5" s="802"/>
      <c r="R5" s="802"/>
      <c r="S5" s="802"/>
      <c r="T5" s="83"/>
      <c r="U5" s="66"/>
      <c r="V5" s="81" t="s">
        <v>90</v>
      </c>
      <c r="W5" s="803">
        <f>'Data Entry'!B19</f>
        <v>0</v>
      </c>
      <c r="X5" s="803"/>
      <c r="Y5" s="803"/>
      <c r="Z5" s="803"/>
      <c r="AA5" s="803"/>
      <c r="AB5" s="804"/>
    </row>
    <row r="6" spans="2:28" ht="20.25" customHeight="1">
      <c r="B6" s="78"/>
      <c r="C6" s="81"/>
      <c r="D6" s="81"/>
      <c r="E6" s="79"/>
      <c r="F6" s="79"/>
      <c r="G6" s="82"/>
      <c r="H6" s="81" t="s">
        <v>105</v>
      </c>
      <c r="I6" s="805">
        <v>43008.041666666664</v>
      </c>
      <c r="J6" s="806"/>
      <c r="K6" s="806"/>
      <c r="L6" s="806"/>
      <c r="M6" s="806"/>
      <c r="N6" s="84"/>
      <c r="O6" s="79"/>
      <c r="P6" s="79"/>
      <c r="Q6" s="81"/>
      <c r="R6" s="79"/>
      <c r="S6" s="82"/>
      <c r="T6" s="83"/>
      <c r="U6" s="79"/>
      <c r="V6" s="79"/>
      <c r="W6" s="81" t="s">
        <v>106</v>
      </c>
      <c r="X6" s="807">
        <v>43008.04583333333</v>
      </c>
      <c r="Y6" s="808"/>
      <c r="Z6" s="808"/>
      <c r="AA6" s="808"/>
      <c r="AB6" s="809"/>
    </row>
    <row r="7" spans="2:28" ht="20.25" customHeight="1">
      <c r="B7" s="78"/>
      <c r="C7" s="79"/>
      <c r="D7" s="79"/>
      <c r="E7" s="81" t="s">
        <v>107</v>
      </c>
      <c r="F7" s="810">
        <v>1</v>
      </c>
      <c r="G7" s="810"/>
      <c r="H7" s="79"/>
      <c r="I7" s="82"/>
      <c r="J7" s="79"/>
      <c r="K7" s="81" t="s">
        <v>108</v>
      </c>
      <c r="L7" s="808" t="s">
        <v>216</v>
      </c>
      <c r="M7" s="808"/>
      <c r="N7" s="85"/>
      <c r="O7" s="79"/>
      <c r="P7" s="82"/>
      <c r="Q7" s="79"/>
      <c r="R7" s="79"/>
      <c r="S7" s="81" t="s">
        <v>109</v>
      </c>
      <c r="T7" s="811" t="s">
        <v>192</v>
      </c>
      <c r="U7" s="811"/>
      <c r="V7" s="79"/>
      <c r="W7" s="79"/>
      <c r="X7" s="79"/>
      <c r="Y7" s="79"/>
      <c r="Z7" s="81" t="s">
        <v>110</v>
      </c>
      <c r="AA7" s="808" t="s">
        <v>220</v>
      </c>
      <c r="AB7" s="809"/>
    </row>
    <row r="8" spans="2:28" ht="20.25" customHeight="1">
      <c r="B8" s="78"/>
      <c r="C8" s="81"/>
      <c r="D8" s="81"/>
      <c r="E8" s="81"/>
      <c r="F8" s="79"/>
      <c r="G8" s="79"/>
      <c r="H8" s="81" t="s">
        <v>111</v>
      </c>
      <c r="I8" s="794">
        <v>43009.133333333331</v>
      </c>
      <c r="J8" s="794"/>
      <c r="K8" s="794"/>
      <c r="L8" s="794"/>
      <c r="M8" s="794"/>
      <c r="N8" s="84"/>
      <c r="O8" s="81"/>
      <c r="P8" s="81"/>
      <c r="Q8" s="81"/>
      <c r="R8" s="81"/>
      <c r="S8" s="79"/>
      <c r="T8" s="83"/>
      <c r="U8" s="79"/>
      <c r="V8" s="79"/>
      <c r="W8" s="81" t="s">
        <v>112</v>
      </c>
      <c r="X8" s="795"/>
      <c r="Y8" s="795"/>
      <c r="Z8" s="795"/>
      <c r="AA8" s="795"/>
      <c r="AB8" s="796"/>
    </row>
    <row r="9" spans="2:28" ht="20.25" customHeight="1">
      <c r="B9" s="78"/>
      <c r="C9" s="81"/>
      <c r="D9" s="81"/>
      <c r="E9" s="81"/>
      <c r="F9" s="81"/>
      <c r="G9" s="81"/>
      <c r="H9" s="81"/>
      <c r="I9" s="79"/>
      <c r="J9" s="81"/>
      <c r="K9" s="79"/>
      <c r="L9" s="79"/>
      <c r="M9" s="82"/>
      <c r="N9" s="82"/>
      <c r="O9" s="79"/>
      <c r="P9" s="81" t="s">
        <v>237</v>
      </c>
      <c r="Q9" s="797" t="s">
        <v>221</v>
      </c>
      <c r="R9" s="797"/>
      <c r="S9" s="797"/>
      <c r="T9" s="797"/>
      <c r="U9" s="797"/>
      <c r="V9" s="797"/>
      <c r="W9" s="797"/>
      <c r="X9" s="797"/>
      <c r="Y9" s="797"/>
      <c r="Z9" s="797"/>
      <c r="AA9" s="797"/>
      <c r="AB9" s="798"/>
    </row>
    <row r="10" spans="2:28" ht="20.25" customHeight="1">
      <c r="B10" s="78"/>
      <c r="C10" s="81"/>
      <c r="D10" s="81"/>
      <c r="E10" s="81"/>
      <c r="F10" s="81"/>
      <c r="G10" s="81"/>
      <c r="H10" s="81"/>
      <c r="I10" s="81"/>
      <c r="J10" s="81"/>
      <c r="K10" s="79"/>
      <c r="L10" s="79"/>
      <c r="M10" s="82"/>
      <c r="N10" s="82"/>
      <c r="O10" s="79"/>
      <c r="P10" s="81" t="s">
        <v>238</v>
      </c>
      <c r="Q10" s="797" t="s">
        <v>217</v>
      </c>
      <c r="R10" s="797"/>
      <c r="S10" s="797"/>
      <c r="T10" s="797"/>
      <c r="U10" s="797"/>
      <c r="V10" s="797"/>
      <c r="W10" s="797"/>
      <c r="X10" s="797"/>
      <c r="Y10" s="797"/>
      <c r="Z10" s="797"/>
      <c r="AA10" s="797"/>
      <c r="AB10" s="798"/>
    </row>
    <row r="11" spans="2:28" ht="20.25" customHeight="1">
      <c r="B11" s="78"/>
      <c r="C11" s="81"/>
      <c r="D11" s="81"/>
      <c r="E11" s="81"/>
      <c r="F11" s="81"/>
      <c r="G11" s="81"/>
      <c r="H11" s="81"/>
      <c r="I11" s="81"/>
      <c r="J11" s="81"/>
      <c r="K11" s="79"/>
      <c r="L11" s="79"/>
      <c r="M11" s="82"/>
      <c r="N11" s="82"/>
      <c r="O11" s="79"/>
      <c r="P11" s="81" t="s">
        <v>113</v>
      </c>
      <c r="Q11" s="797"/>
      <c r="R11" s="797"/>
      <c r="S11" s="797"/>
      <c r="T11" s="797"/>
      <c r="U11" s="797"/>
      <c r="V11" s="797"/>
      <c r="W11" s="797"/>
      <c r="X11" s="797"/>
      <c r="Y11" s="797"/>
      <c r="Z11" s="797"/>
      <c r="AA11" s="797"/>
      <c r="AB11" s="798"/>
    </row>
    <row r="12" spans="2:28" ht="15.75" customHeight="1">
      <c r="B12" s="78"/>
      <c r="C12" s="81"/>
      <c r="D12" s="81"/>
      <c r="E12" s="81"/>
      <c r="F12" s="81"/>
      <c r="G12" s="81"/>
      <c r="H12" s="81"/>
      <c r="I12" s="81"/>
      <c r="J12" s="81"/>
      <c r="K12" s="79"/>
      <c r="L12" s="81"/>
      <c r="M12" s="82"/>
      <c r="N12" s="82"/>
      <c r="O12" s="82"/>
      <c r="P12" s="82"/>
      <c r="Q12" s="82"/>
      <c r="R12" s="82"/>
      <c r="S12" s="82"/>
      <c r="T12" s="83"/>
      <c r="U12" s="79"/>
      <c r="V12" s="79"/>
      <c r="W12" s="79"/>
      <c r="X12" s="79"/>
      <c r="Y12" s="79"/>
      <c r="Z12" s="79"/>
      <c r="AA12" s="79"/>
      <c r="AB12" s="80"/>
    </row>
    <row r="13" spans="2:28" ht="15">
      <c r="B13" s="799" t="s">
        <v>114</v>
      </c>
      <c r="C13" s="800"/>
      <c r="D13" s="800"/>
      <c r="E13" s="800"/>
      <c r="F13" s="800"/>
      <c r="G13" s="800"/>
      <c r="H13" s="800"/>
      <c r="I13" s="800"/>
      <c r="J13" s="800"/>
      <c r="K13" s="800"/>
      <c r="L13" s="800"/>
      <c r="M13" s="800"/>
      <c r="N13" s="800"/>
      <c r="O13" s="800"/>
      <c r="P13" s="800"/>
      <c r="Q13" s="800"/>
      <c r="R13" s="800"/>
      <c r="S13" s="800"/>
      <c r="T13" s="800"/>
      <c r="U13" s="800"/>
      <c r="V13" s="800"/>
      <c r="W13" s="800"/>
      <c r="X13" s="800"/>
      <c r="Y13" s="800"/>
      <c r="Z13" s="800"/>
      <c r="AA13" s="800"/>
      <c r="AB13" s="801"/>
    </row>
    <row r="14" spans="2:28" ht="6.75" customHeight="1">
      <c r="B14" s="86"/>
      <c r="C14" s="79"/>
      <c r="D14" s="79"/>
      <c r="E14" s="79"/>
      <c r="F14" s="79"/>
      <c r="G14" s="79"/>
      <c r="H14" s="79"/>
      <c r="I14" s="79"/>
      <c r="J14" s="79"/>
      <c r="K14" s="79"/>
      <c r="L14" s="79"/>
      <c r="M14" s="79"/>
      <c r="N14" s="79"/>
      <c r="O14" s="79"/>
      <c r="P14" s="79"/>
      <c r="Q14" s="79"/>
      <c r="R14" s="79"/>
      <c r="S14" s="79"/>
      <c r="T14" s="79"/>
      <c r="U14" s="79"/>
      <c r="V14" s="79"/>
      <c r="W14" s="79"/>
      <c r="X14" s="79"/>
      <c r="Y14" s="79"/>
      <c r="Z14" s="79"/>
      <c r="AA14" s="79"/>
      <c r="AB14" s="80"/>
    </row>
    <row r="15" spans="2:28" ht="15">
      <c r="B15" s="826" t="s">
        <v>39</v>
      </c>
      <c r="C15" s="827"/>
      <c r="D15" s="812" t="s">
        <v>115</v>
      </c>
      <c r="E15" s="812"/>
      <c r="F15" s="812"/>
      <c r="G15" s="812"/>
      <c r="H15" s="812"/>
      <c r="I15" s="812"/>
      <c r="J15" s="812"/>
      <c r="K15" s="812"/>
      <c r="L15" s="812"/>
      <c r="M15" s="812"/>
      <c r="N15" s="829" t="s">
        <v>116</v>
      </c>
      <c r="O15" s="812" t="s">
        <v>117</v>
      </c>
      <c r="P15" s="812"/>
      <c r="Q15" s="812"/>
      <c r="R15" s="812"/>
      <c r="S15" s="813" t="s">
        <v>118</v>
      </c>
      <c r="T15" s="814"/>
      <c r="U15" s="814"/>
      <c r="V15" s="814"/>
      <c r="W15" s="814"/>
      <c r="X15" s="814"/>
      <c r="Y15" s="814"/>
      <c r="Z15" s="815"/>
      <c r="AA15" s="822" t="s">
        <v>119</v>
      </c>
      <c r="AB15" s="823"/>
    </row>
    <row r="16" spans="2:28" ht="15">
      <c r="B16" s="824"/>
      <c r="C16" s="825"/>
      <c r="D16" s="812" t="s">
        <v>120</v>
      </c>
      <c r="E16" s="812"/>
      <c r="F16" s="812"/>
      <c r="G16" s="812"/>
      <c r="H16" s="812"/>
      <c r="I16" s="812"/>
      <c r="J16" s="812"/>
      <c r="K16" s="812"/>
      <c r="L16" s="812"/>
      <c r="M16" s="812"/>
      <c r="N16" s="830"/>
      <c r="O16" s="812" t="s">
        <v>121</v>
      </c>
      <c r="P16" s="812"/>
      <c r="Q16" s="812" t="s">
        <v>122</v>
      </c>
      <c r="R16" s="812"/>
      <c r="S16" s="816"/>
      <c r="T16" s="817"/>
      <c r="U16" s="817"/>
      <c r="V16" s="817"/>
      <c r="W16" s="817"/>
      <c r="X16" s="817"/>
      <c r="Y16" s="817"/>
      <c r="Z16" s="818"/>
      <c r="AA16" s="822"/>
      <c r="AB16" s="823"/>
    </row>
    <row r="17" spans="2:28" ht="15">
      <c r="B17" s="826" t="s">
        <v>123</v>
      </c>
      <c r="C17" s="827"/>
      <c r="D17" s="828"/>
      <c r="E17" s="828"/>
      <c r="F17" s="828" t="s">
        <v>218</v>
      </c>
      <c r="G17" s="828"/>
      <c r="H17" s="828"/>
      <c r="I17" s="828"/>
      <c r="J17" s="828"/>
      <c r="K17" s="828"/>
      <c r="L17" s="828"/>
      <c r="M17" s="828"/>
      <c r="N17" s="87"/>
      <c r="O17" s="812" t="s">
        <v>124</v>
      </c>
      <c r="P17" s="812"/>
      <c r="Q17" s="812" t="s">
        <v>124</v>
      </c>
      <c r="R17" s="812"/>
      <c r="S17" s="819"/>
      <c r="T17" s="820"/>
      <c r="U17" s="820"/>
      <c r="V17" s="820"/>
      <c r="W17" s="820"/>
      <c r="X17" s="820"/>
      <c r="Y17" s="820"/>
      <c r="Z17" s="821"/>
      <c r="AA17" s="822"/>
      <c r="AB17" s="823"/>
    </row>
    <row r="18" spans="2:28" ht="20.25" customHeight="1">
      <c r="B18" s="837">
        <v>0.74583333333333324</v>
      </c>
      <c r="C18" s="838"/>
      <c r="D18" s="831"/>
      <c r="E18" s="831"/>
      <c r="F18" s="831">
        <v>0</v>
      </c>
      <c r="G18" s="831"/>
      <c r="H18" s="831"/>
      <c r="I18" s="831"/>
      <c r="J18" s="831"/>
      <c r="K18" s="831"/>
      <c r="L18" s="831"/>
      <c r="M18" s="831"/>
      <c r="N18" s="88"/>
      <c r="O18" s="831"/>
      <c r="P18" s="831"/>
      <c r="Q18" s="831"/>
      <c r="R18" s="831"/>
      <c r="S18" s="831" t="s">
        <v>222</v>
      </c>
      <c r="T18" s="831"/>
      <c r="U18" s="831"/>
      <c r="V18" s="831"/>
      <c r="W18" s="831"/>
      <c r="X18" s="831"/>
      <c r="Y18" s="831"/>
      <c r="Z18" s="831"/>
      <c r="AA18" s="831" t="s">
        <v>219</v>
      </c>
      <c r="AB18" s="832"/>
    </row>
    <row r="19" spans="2:28" ht="20.25" customHeight="1">
      <c r="B19" s="837">
        <v>0.75</v>
      </c>
      <c r="C19" s="838"/>
      <c r="D19" s="831"/>
      <c r="E19" s="831"/>
      <c r="F19" s="831">
        <v>0</v>
      </c>
      <c r="G19" s="831"/>
      <c r="H19" s="831"/>
      <c r="I19" s="831"/>
      <c r="J19" s="831"/>
      <c r="K19" s="831"/>
      <c r="L19" s="831"/>
      <c r="M19" s="831"/>
      <c r="N19" s="88">
        <v>11</v>
      </c>
      <c r="O19" s="831">
        <v>25</v>
      </c>
      <c r="P19" s="831"/>
      <c r="Q19" s="831">
        <v>26</v>
      </c>
      <c r="R19" s="831"/>
      <c r="S19" s="831"/>
      <c r="T19" s="831"/>
      <c r="U19" s="831"/>
      <c r="V19" s="831"/>
      <c r="W19" s="831"/>
      <c r="X19" s="831"/>
      <c r="Y19" s="831"/>
      <c r="Z19" s="831"/>
      <c r="AA19" s="831" t="s">
        <v>193</v>
      </c>
      <c r="AB19" s="832"/>
    </row>
    <row r="20" spans="2:28" ht="20.25" customHeight="1">
      <c r="B20" s="837">
        <v>0.79166666666666696</v>
      </c>
      <c r="C20" s="838"/>
      <c r="D20" s="831"/>
      <c r="E20" s="831"/>
      <c r="F20" s="831">
        <v>0</v>
      </c>
      <c r="G20" s="831"/>
      <c r="H20" s="831"/>
      <c r="I20" s="831"/>
      <c r="J20" s="831"/>
      <c r="K20" s="831"/>
      <c r="L20" s="831"/>
      <c r="M20" s="831"/>
      <c r="N20" s="88">
        <v>471</v>
      </c>
      <c r="O20" s="831">
        <v>24</v>
      </c>
      <c r="P20" s="831"/>
      <c r="Q20" s="831">
        <v>26</v>
      </c>
      <c r="R20" s="831"/>
      <c r="S20" s="831"/>
      <c r="T20" s="831"/>
      <c r="U20" s="831"/>
      <c r="V20" s="831"/>
      <c r="W20" s="831"/>
      <c r="X20" s="831"/>
      <c r="Y20" s="831"/>
      <c r="Z20" s="831"/>
      <c r="AA20" s="831" t="s">
        <v>193</v>
      </c>
      <c r="AB20" s="832"/>
    </row>
    <row r="21" spans="2:28" ht="20.25" customHeight="1">
      <c r="B21" s="837">
        <v>0.83333333333333304</v>
      </c>
      <c r="C21" s="838"/>
      <c r="D21" s="831"/>
      <c r="E21" s="831"/>
      <c r="F21" s="831">
        <v>0</v>
      </c>
      <c r="G21" s="831"/>
      <c r="H21" s="831"/>
      <c r="I21" s="831"/>
      <c r="J21" s="831"/>
      <c r="K21" s="831"/>
      <c r="L21" s="831"/>
      <c r="M21" s="831"/>
      <c r="N21" s="88">
        <v>567</v>
      </c>
      <c r="O21" s="831">
        <v>24</v>
      </c>
      <c r="P21" s="831"/>
      <c r="Q21" s="831">
        <v>26</v>
      </c>
      <c r="R21" s="831"/>
      <c r="S21" s="831"/>
      <c r="T21" s="831"/>
      <c r="U21" s="831"/>
      <c r="V21" s="831"/>
      <c r="W21" s="831"/>
      <c r="X21" s="831"/>
      <c r="Y21" s="831"/>
      <c r="Z21" s="831"/>
      <c r="AA21" s="831" t="s">
        <v>193</v>
      </c>
      <c r="AB21" s="832"/>
    </row>
    <row r="22" spans="2:28" ht="20.25" customHeight="1">
      <c r="B22" s="837">
        <v>0.874999999999999</v>
      </c>
      <c r="C22" s="838"/>
      <c r="D22" s="831"/>
      <c r="E22" s="831"/>
      <c r="F22" s="831">
        <v>0</v>
      </c>
      <c r="G22" s="831"/>
      <c r="H22" s="831"/>
      <c r="I22" s="831"/>
      <c r="J22" s="831"/>
      <c r="K22" s="831"/>
      <c r="L22" s="831"/>
      <c r="M22" s="831"/>
      <c r="N22" s="88">
        <v>552</v>
      </c>
      <c r="O22" s="831">
        <v>24</v>
      </c>
      <c r="P22" s="831"/>
      <c r="Q22" s="831">
        <v>26</v>
      </c>
      <c r="R22" s="831"/>
      <c r="S22" s="831"/>
      <c r="T22" s="831"/>
      <c r="U22" s="831"/>
      <c r="V22" s="831"/>
      <c r="W22" s="831"/>
      <c r="X22" s="831"/>
      <c r="Y22" s="831"/>
      <c r="Z22" s="831"/>
      <c r="AA22" s="831" t="s">
        <v>194</v>
      </c>
      <c r="AB22" s="832"/>
    </row>
    <row r="23" spans="2:28" ht="20.25" customHeight="1">
      <c r="B23" s="837">
        <v>0.91666666666666496</v>
      </c>
      <c r="C23" s="838"/>
      <c r="D23" s="831"/>
      <c r="E23" s="831"/>
      <c r="F23" s="831">
        <v>0</v>
      </c>
      <c r="G23" s="831"/>
      <c r="H23" s="831"/>
      <c r="I23" s="831"/>
      <c r="J23" s="831"/>
      <c r="K23" s="831"/>
      <c r="L23" s="831"/>
      <c r="M23" s="831"/>
      <c r="N23" s="88">
        <v>552</v>
      </c>
      <c r="O23" s="831">
        <v>24</v>
      </c>
      <c r="P23" s="831"/>
      <c r="Q23" s="831">
        <v>26</v>
      </c>
      <c r="R23" s="831"/>
      <c r="S23" s="831"/>
      <c r="T23" s="831"/>
      <c r="U23" s="831"/>
      <c r="V23" s="831"/>
      <c r="W23" s="831"/>
      <c r="X23" s="831"/>
      <c r="Y23" s="831"/>
      <c r="Z23" s="831"/>
      <c r="AA23" s="831" t="s">
        <v>194</v>
      </c>
      <c r="AB23" s="832"/>
    </row>
    <row r="24" spans="2:28" ht="20.25" customHeight="1">
      <c r="B24" s="837">
        <v>0.95833333333333104</v>
      </c>
      <c r="C24" s="838"/>
      <c r="D24" s="831"/>
      <c r="E24" s="831"/>
      <c r="F24" s="831">
        <v>0</v>
      </c>
      <c r="G24" s="831"/>
      <c r="H24" s="831"/>
      <c r="I24" s="831"/>
      <c r="J24" s="831"/>
      <c r="K24" s="831"/>
      <c r="L24" s="831"/>
      <c r="M24" s="831"/>
      <c r="N24" s="88">
        <v>565</v>
      </c>
      <c r="O24" s="831">
        <v>24</v>
      </c>
      <c r="P24" s="831"/>
      <c r="Q24" s="831">
        <v>26</v>
      </c>
      <c r="R24" s="831"/>
      <c r="S24" s="831"/>
      <c r="T24" s="831"/>
      <c r="U24" s="831"/>
      <c r="V24" s="831"/>
      <c r="W24" s="831"/>
      <c r="X24" s="831"/>
      <c r="Y24" s="831"/>
      <c r="Z24" s="831"/>
      <c r="AA24" s="831" t="s">
        <v>194</v>
      </c>
      <c r="AB24" s="832"/>
    </row>
    <row r="25" spans="2:28" ht="20.25" customHeight="1">
      <c r="B25" s="837">
        <v>0.999999999999997</v>
      </c>
      <c r="C25" s="838"/>
      <c r="D25" s="831"/>
      <c r="E25" s="831"/>
      <c r="F25" s="831">
        <v>0</v>
      </c>
      <c r="G25" s="831"/>
      <c r="H25" s="831"/>
      <c r="I25" s="831"/>
      <c r="J25" s="831"/>
      <c r="K25" s="831"/>
      <c r="L25" s="831"/>
      <c r="M25" s="831"/>
      <c r="N25" s="88">
        <v>546</v>
      </c>
      <c r="O25" s="831">
        <v>23</v>
      </c>
      <c r="P25" s="831"/>
      <c r="Q25" s="831">
        <v>25</v>
      </c>
      <c r="R25" s="831"/>
      <c r="S25" s="831"/>
      <c r="T25" s="831"/>
      <c r="U25" s="831"/>
      <c r="V25" s="831"/>
      <c r="W25" s="831"/>
      <c r="X25" s="831"/>
      <c r="Y25" s="831"/>
      <c r="Z25" s="831"/>
      <c r="AA25" s="831" t="s">
        <v>194</v>
      </c>
      <c r="AB25" s="832"/>
    </row>
    <row r="26" spans="2:28" ht="20.25" customHeight="1">
      <c r="B26" s="837">
        <v>4.1666666666666664E-2</v>
      </c>
      <c r="C26" s="838"/>
      <c r="D26" s="831"/>
      <c r="E26" s="831"/>
      <c r="F26" s="831">
        <v>0</v>
      </c>
      <c r="G26" s="831"/>
      <c r="H26" s="831"/>
      <c r="I26" s="831"/>
      <c r="J26" s="831"/>
      <c r="K26" s="831"/>
      <c r="L26" s="831"/>
      <c r="M26" s="831"/>
      <c r="N26" s="88">
        <v>551</v>
      </c>
      <c r="O26" s="831">
        <v>22</v>
      </c>
      <c r="P26" s="831"/>
      <c r="Q26" s="831">
        <v>25</v>
      </c>
      <c r="R26" s="831"/>
      <c r="S26" s="831"/>
      <c r="T26" s="831"/>
      <c r="U26" s="831"/>
      <c r="V26" s="831"/>
      <c r="W26" s="831"/>
      <c r="X26" s="831"/>
      <c r="Y26" s="831"/>
      <c r="Z26" s="831"/>
      <c r="AA26" s="831" t="s">
        <v>195</v>
      </c>
      <c r="AB26" s="832"/>
    </row>
    <row r="27" spans="2:28" ht="20.25" customHeight="1">
      <c r="B27" s="837">
        <v>8.3333333333333329E-2</v>
      </c>
      <c r="C27" s="838"/>
      <c r="D27" s="831"/>
      <c r="E27" s="831"/>
      <c r="F27" s="831">
        <v>0</v>
      </c>
      <c r="G27" s="831"/>
      <c r="H27" s="831"/>
      <c r="I27" s="831"/>
      <c r="J27" s="831"/>
      <c r="K27" s="831"/>
      <c r="L27" s="831"/>
      <c r="M27" s="831"/>
      <c r="N27" s="88">
        <v>552</v>
      </c>
      <c r="O27" s="831">
        <v>22</v>
      </c>
      <c r="P27" s="831"/>
      <c r="Q27" s="831">
        <v>25</v>
      </c>
      <c r="R27" s="831"/>
      <c r="S27" s="831"/>
      <c r="T27" s="831"/>
      <c r="U27" s="831"/>
      <c r="V27" s="831"/>
      <c r="W27" s="831"/>
      <c r="X27" s="831"/>
      <c r="Y27" s="831"/>
      <c r="Z27" s="831"/>
      <c r="AA27" s="831" t="s">
        <v>195</v>
      </c>
      <c r="AB27" s="832"/>
    </row>
    <row r="28" spans="2:28" ht="20.25" customHeight="1">
      <c r="B28" s="837">
        <v>0.125</v>
      </c>
      <c r="C28" s="838"/>
      <c r="D28" s="831"/>
      <c r="E28" s="831"/>
      <c r="F28" s="831">
        <v>0</v>
      </c>
      <c r="G28" s="831"/>
      <c r="H28" s="831"/>
      <c r="I28" s="831"/>
      <c r="J28" s="831"/>
      <c r="K28" s="831"/>
      <c r="L28" s="831"/>
      <c r="M28" s="831"/>
      <c r="N28" s="88">
        <v>559</v>
      </c>
      <c r="O28" s="831">
        <v>22</v>
      </c>
      <c r="P28" s="831"/>
      <c r="Q28" s="831">
        <v>25</v>
      </c>
      <c r="R28" s="831"/>
      <c r="S28" s="831"/>
      <c r="T28" s="831"/>
      <c r="U28" s="831"/>
      <c r="V28" s="831"/>
      <c r="W28" s="831"/>
      <c r="X28" s="831"/>
      <c r="Y28" s="831"/>
      <c r="Z28" s="831"/>
      <c r="AA28" s="831" t="s">
        <v>195</v>
      </c>
      <c r="AB28" s="832"/>
    </row>
    <row r="29" spans="2:28" ht="20.25" customHeight="1">
      <c r="B29" s="837">
        <v>0.13333333333333333</v>
      </c>
      <c r="C29" s="838"/>
      <c r="D29" s="831"/>
      <c r="E29" s="831"/>
      <c r="F29" s="831">
        <v>0</v>
      </c>
      <c r="G29" s="831"/>
      <c r="H29" s="831"/>
      <c r="I29" s="831"/>
      <c r="J29" s="831"/>
      <c r="K29" s="831"/>
      <c r="L29" s="831"/>
      <c r="M29" s="831"/>
      <c r="N29" s="88">
        <v>111</v>
      </c>
      <c r="O29" s="831">
        <v>22</v>
      </c>
      <c r="P29" s="831"/>
      <c r="Q29" s="831">
        <v>25</v>
      </c>
      <c r="R29" s="831"/>
      <c r="S29" s="831" t="s">
        <v>223</v>
      </c>
      <c r="T29" s="831"/>
      <c r="U29" s="831"/>
      <c r="V29" s="831"/>
      <c r="W29" s="831"/>
      <c r="X29" s="831"/>
      <c r="Y29" s="831"/>
      <c r="Z29" s="831"/>
      <c r="AA29" s="831" t="s">
        <v>195</v>
      </c>
      <c r="AB29" s="832"/>
    </row>
    <row r="30" spans="2:28" ht="20.25" customHeight="1">
      <c r="B30" s="837"/>
      <c r="C30" s="838"/>
      <c r="D30" s="831"/>
      <c r="E30" s="831"/>
      <c r="F30" s="831"/>
      <c r="G30" s="831"/>
      <c r="H30" s="831"/>
      <c r="I30" s="831"/>
      <c r="J30" s="831"/>
      <c r="K30" s="831"/>
      <c r="L30" s="831"/>
      <c r="M30" s="831"/>
      <c r="N30" s="88"/>
      <c r="O30" s="831"/>
      <c r="P30" s="831"/>
      <c r="Q30" s="831"/>
      <c r="R30" s="831"/>
      <c r="S30" s="831"/>
      <c r="T30" s="831"/>
      <c r="U30" s="831"/>
      <c r="V30" s="831"/>
      <c r="W30" s="831"/>
      <c r="X30" s="831"/>
      <c r="Y30" s="831"/>
      <c r="Z30" s="831"/>
      <c r="AA30" s="831"/>
      <c r="AB30" s="832"/>
    </row>
    <row r="31" spans="2:28" ht="20.25" customHeight="1">
      <c r="B31" s="837"/>
      <c r="C31" s="838"/>
      <c r="D31" s="831"/>
      <c r="E31" s="831"/>
      <c r="F31" s="831"/>
      <c r="G31" s="831"/>
      <c r="H31" s="831"/>
      <c r="I31" s="831"/>
      <c r="J31" s="831"/>
      <c r="K31" s="831"/>
      <c r="L31" s="831"/>
      <c r="M31" s="831"/>
      <c r="N31" s="88"/>
      <c r="O31" s="831"/>
      <c r="P31" s="831"/>
      <c r="Q31" s="831"/>
      <c r="R31" s="831"/>
      <c r="S31" s="831"/>
      <c r="T31" s="831"/>
      <c r="U31" s="831"/>
      <c r="V31" s="831"/>
      <c r="W31" s="831"/>
      <c r="X31" s="831"/>
      <c r="Y31" s="831"/>
      <c r="Z31" s="831"/>
      <c r="AA31" s="831"/>
      <c r="AB31" s="832"/>
    </row>
    <row r="32" spans="2:28" ht="20.25" customHeight="1">
      <c r="B32" s="837"/>
      <c r="C32" s="838"/>
      <c r="D32" s="831"/>
      <c r="E32" s="831"/>
      <c r="F32" s="831"/>
      <c r="G32" s="831"/>
      <c r="H32" s="831"/>
      <c r="I32" s="831"/>
      <c r="J32" s="831"/>
      <c r="K32" s="831"/>
      <c r="L32" s="831"/>
      <c r="M32" s="831"/>
      <c r="N32" s="88"/>
      <c r="O32" s="831"/>
      <c r="P32" s="831"/>
      <c r="Q32" s="831"/>
      <c r="R32" s="831"/>
      <c r="S32" s="831"/>
      <c r="T32" s="831"/>
      <c r="U32" s="831"/>
      <c r="V32" s="831"/>
      <c r="W32" s="831"/>
      <c r="X32" s="831"/>
      <c r="Y32" s="831"/>
      <c r="Z32" s="831"/>
      <c r="AA32" s="831"/>
      <c r="AB32" s="832"/>
    </row>
    <row r="33" spans="2:28" ht="20.25" customHeight="1">
      <c r="B33" s="837"/>
      <c r="C33" s="838"/>
      <c r="D33" s="831"/>
      <c r="E33" s="831"/>
      <c r="F33" s="831"/>
      <c r="G33" s="831"/>
      <c r="H33" s="831"/>
      <c r="I33" s="831"/>
      <c r="J33" s="831"/>
      <c r="K33" s="831"/>
      <c r="L33" s="831"/>
      <c r="M33" s="831"/>
      <c r="N33" s="88"/>
      <c r="O33" s="831"/>
      <c r="P33" s="831"/>
      <c r="Q33" s="831"/>
      <c r="R33" s="831"/>
      <c r="S33" s="831"/>
      <c r="T33" s="831"/>
      <c r="U33" s="831"/>
      <c r="V33" s="831"/>
      <c r="W33" s="831"/>
      <c r="X33" s="831"/>
      <c r="Y33" s="831"/>
      <c r="Z33" s="831"/>
      <c r="AA33" s="831"/>
      <c r="AB33" s="832"/>
    </row>
    <row r="34" spans="2:28" ht="20.25" customHeight="1">
      <c r="B34" s="837"/>
      <c r="C34" s="838"/>
      <c r="D34" s="831"/>
      <c r="E34" s="831"/>
      <c r="F34" s="831"/>
      <c r="G34" s="831"/>
      <c r="H34" s="831"/>
      <c r="I34" s="831"/>
      <c r="J34" s="831"/>
      <c r="K34" s="831"/>
      <c r="L34" s="831"/>
      <c r="M34" s="831"/>
      <c r="N34" s="88"/>
      <c r="O34" s="831"/>
      <c r="P34" s="831"/>
      <c r="Q34" s="831"/>
      <c r="R34" s="831"/>
      <c r="S34" s="831"/>
      <c r="T34" s="831"/>
      <c r="U34" s="831"/>
      <c r="V34" s="831"/>
      <c r="W34" s="831"/>
      <c r="X34" s="831"/>
      <c r="Y34" s="831"/>
      <c r="Z34" s="831"/>
      <c r="AA34" s="831"/>
      <c r="AB34" s="832"/>
    </row>
    <row r="35" spans="2:28" ht="20.25" customHeight="1">
      <c r="B35" s="837"/>
      <c r="C35" s="838"/>
      <c r="D35" s="831"/>
      <c r="E35" s="831"/>
      <c r="F35" s="831"/>
      <c r="G35" s="831"/>
      <c r="H35" s="831"/>
      <c r="I35" s="831"/>
      <c r="J35" s="831"/>
      <c r="K35" s="831"/>
      <c r="L35" s="831"/>
      <c r="M35" s="831"/>
      <c r="N35" s="88"/>
      <c r="O35" s="831"/>
      <c r="P35" s="831"/>
      <c r="Q35" s="831"/>
      <c r="R35" s="831"/>
      <c r="S35" s="831"/>
      <c r="T35" s="831"/>
      <c r="U35" s="831"/>
      <c r="V35" s="831"/>
      <c r="W35" s="831"/>
      <c r="X35" s="831"/>
      <c r="Y35" s="831"/>
      <c r="Z35" s="831"/>
      <c r="AA35" s="831"/>
      <c r="AB35" s="832"/>
    </row>
    <row r="36" spans="2:28" ht="20.25" customHeight="1">
      <c r="B36" s="837"/>
      <c r="C36" s="838"/>
      <c r="D36" s="831"/>
      <c r="E36" s="831"/>
      <c r="F36" s="831"/>
      <c r="G36" s="831"/>
      <c r="H36" s="831"/>
      <c r="I36" s="831"/>
      <c r="J36" s="831"/>
      <c r="K36" s="831"/>
      <c r="L36" s="831"/>
      <c r="M36" s="831"/>
      <c r="N36" s="88"/>
      <c r="O36" s="831"/>
      <c r="P36" s="831"/>
      <c r="Q36" s="831"/>
      <c r="R36" s="831"/>
      <c r="S36" s="831"/>
      <c r="T36" s="831"/>
      <c r="U36" s="831"/>
      <c r="V36" s="831"/>
      <c r="W36" s="831"/>
      <c r="X36" s="831"/>
      <c r="Y36" s="831"/>
      <c r="Z36" s="831"/>
      <c r="AA36" s="831"/>
      <c r="AB36" s="832"/>
    </row>
    <row r="37" spans="2:28" ht="20.25" customHeight="1">
      <c r="B37" s="837"/>
      <c r="C37" s="838"/>
      <c r="D37" s="831"/>
      <c r="E37" s="831"/>
      <c r="F37" s="831"/>
      <c r="G37" s="831"/>
      <c r="H37" s="831"/>
      <c r="I37" s="831"/>
      <c r="J37" s="831"/>
      <c r="K37" s="831"/>
      <c r="L37" s="831"/>
      <c r="M37" s="831"/>
      <c r="N37" s="88"/>
      <c r="O37" s="831"/>
      <c r="P37" s="831"/>
      <c r="Q37" s="831"/>
      <c r="R37" s="831"/>
      <c r="S37" s="831"/>
      <c r="T37" s="831"/>
      <c r="U37" s="831"/>
      <c r="V37" s="831"/>
      <c r="W37" s="831"/>
      <c r="X37" s="831"/>
      <c r="Y37" s="831"/>
      <c r="Z37" s="831"/>
      <c r="AA37" s="831"/>
      <c r="AB37" s="832"/>
    </row>
    <row r="38" spans="2:28" ht="20.25" customHeight="1">
      <c r="B38" s="837"/>
      <c r="C38" s="838"/>
      <c r="D38" s="831"/>
      <c r="E38" s="831"/>
      <c r="F38" s="831"/>
      <c r="G38" s="831"/>
      <c r="H38" s="831"/>
      <c r="I38" s="831"/>
      <c r="J38" s="831"/>
      <c r="K38" s="831"/>
      <c r="L38" s="831"/>
      <c r="M38" s="831"/>
      <c r="N38" s="88"/>
      <c r="O38" s="831"/>
      <c r="P38" s="831"/>
      <c r="Q38" s="831"/>
      <c r="R38" s="831"/>
      <c r="S38" s="831"/>
      <c r="T38" s="831"/>
      <c r="U38" s="831"/>
      <c r="V38" s="831"/>
      <c r="W38" s="831"/>
      <c r="X38" s="831"/>
      <c r="Y38" s="831"/>
      <c r="Z38" s="831"/>
      <c r="AA38" s="831"/>
      <c r="AB38" s="832"/>
    </row>
    <row r="39" spans="2:28" ht="20.25" customHeight="1">
      <c r="B39" s="837"/>
      <c r="C39" s="838"/>
      <c r="D39" s="831"/>
      <c r="E39" s="831"/>
      <c r="F39" s="831"/>
      <c r="G39" s="831"/>
      <c r="H39" s="831"/>
      <c r="I39" s="831"/>
      <c r="J39" s="831"/>
      <c r="K39" s="831"/>
      <c r="L39" s="831"/>
      <c r="M39" s="831"/>
      <c r="N39" s="88"/>
      <c r="O39" s="831"/>
      <c r="P39" s="831"/>
      <c r="Q39" s="831"/>
      <c r="R39" s="831"/>
      <c r="S39" s="831"/>
      <c r="T39" s="831"/>
      <c r="U39" s="831"/>
      <c r="V39" s="831"/>
      <c r="W39" s="831"/>
      <c r="X39" s="831"/>
      <c r="Y39" s="831"/>
      <c r="Z39" s="831"/>
      <c r="AA39" s="831"/>
      <c r="AB39" s="832"/>
    </row>
    <row r="40" spans="2:28" ht="20.25" customHeight="1">
      <c r="B40" s="837"/>
      <c r="C40" s="838"/>
      <c r="D40" s="831"/>
      <c r="E40" s="831"/>
      <c r="F40" s="831"/>
      <c r="G40" s="831"/>
      <c r="H40" s="831"/>
      <c r="I40" s="831"/>
      <c r="J40" s="831"/>
      <c r="K40" s="831"/>
      <c r="L40" s="831"/>
      <c r="M40" s="831"/>
      <c r="N40" s="88"/>
      <c r="O40" s="831"/>
      <c r="P40" s="831"/>
      <c r="Q40" s="831"/>
      <c r="R40" s="831"/>
      <c r="S40" s="831"/>
      <c r="T40" s="831"/>
      <c r="U40" s="831"/>
      <c r="V40" s="831"/>
      <c r="W40" s="831"/>
      <c r="X40" s="831"/>
      <c r="Y40" s="831"/>
      <c r="Z40" s="831"/>
      <c r="AA40" s="831"/>
      <c r="AB40" s="832"/>
    </row>
    <row r="41" spans="2:28" ht="20.25" customHeight="1">
      <c r="B41" s="837"/>
      <c r="C41" s="838"/>
      <c r="D41" s="831"/>
      <c r="E41" s="831"/>
      <c r="F41" s="831"/>
      <c r="G41" s="831"/>
      <c r="H41" s="831"/>
      <c r="I41" s="831"/>
      <c r="J41" s="831"/>
      <c r="K41" s="831"/>
      <c r="L41" s="831"/>
      <c r="M41" s="831"/>
      <c r="N41" s="88"/>
      <c r="O41" s="831"/>
      <c r="P41" s="831"/>
      <c r="Q41" s="831"/>
      <c r="R41" s="831"/>
      <c r="S41" s="831"/>
      <c r="T41" s="831"/>
      <c r="U41" s="831"/>
      <c r="V41" s="831"/>
      <c r="W41" s="831"/>
      <c r="X41" s="831"/>
      <c r="Y41" s="831"/>
      <c r="Z41" s="831"/>
      <c r="AA41" s="831" t="s">
        <v>193</v>
      </c>
      <c r="AB41" s="832"/>
    </row>
    <row r="42" spans="2:28" ht="12.75">
      <c r="B42" s="78"/>
      <c r="C42" s="79"/>
      <c r="D42" s="79"/>
      <c r="E42" s="79"/>
      <c r="F42" s="79"/>
      <c r="G42" s="79"/>
      <c r="H42" s="79"/>
      <c r="I42" s="79"/>
      <c r="J42" s="79"/>
      <c r="K42" s="79"/>
      <c r="L42" s="79"/>
      <c r="M42" s="79"/>
      <c r="N42" s="79"/>
      <c r="O42" s="79"/>
      <c r="P42" s="79"/>
      <c r="Q42" s="79"/>
      <c r="R42" s="79"/>
      <c r="S42" s="79"/>
      <c r="T42" s="79"/>
      <c r="U42" s="79"/>
      <c r="V42" s="79"/>
      <c r="W42" s="79"/>
      <c r="X42" s="79"/>
      <c r="Y42" s="79"/>
      <c r="Z42" s="79"/>
      <c r="AA42" s="79"/>
      <c r="AB42" s="80"/>
    </row>
    <row r="43" spans="2:28" ht="12.75">
      <c r="B43" s="78"/>
      <c r="C43" s="79"/>
      <c r="D43" s="79"/>
      <c r="E43" s="79"/>
      <c r="F43" s="79"/>
      <c r="G43" s="79"/>
      <c r="H43" s="79"/>
      <c r="I43" s="79"/>
      <c r="J43" s="79"/>
      <c r="K43" s="79"/>
      <c r="L43" s="79"/>
      <c r="M43" s="79"/>
      <c r="N43" s="79"/>
      <c r="O43" s="79"/>
      <c r="P43" s="79"/>
      <c r="Q43" s="79"/>
      <c r="R43" s="79"/>
      <c r="S43" s="79"/>
      <c r="T43" s="79"/>
      <c r="U43" s="79"/>
      <c r="V43" s="79"/>
      <c r="W43" s="79"/>
      <c r="X43" s="79"/>
      <c r="Y43" s="79"/>
      <c r="Z43" s="79"/>
      <c r="AA43" s="79"/>
      <c r="AB43" s="80"/>
    </row>
    <row r="44" spans="2:28" ht="12.75">
      <c r="B44" s="78"/>
      <c r="C44" s="839"/>
      <c r="D44" s="839"/>
      <c r="E44" s="839"/>
      <c r="F44" s="839"/>
      <c r="G44" s="79"/>
      <c r="H44" s="79"/>
      <c r="I44" s="79"/>
      <c r="J44" s="79"/>
      <c r="K44" s="79"/>
      <c r="L44" s="79"/>
      <c r="M44" s="79"/>
      <c r="N44" s="79"/>
      <c r="O44" s="79"/>
      <c r="P44" s="79"/>
      <c r="Q44" s="840"/>
      <c r="R44" s="840"/>
      <c r="S44" s="840"/>
      <c r="T44" s="840"/>
      <c r="U44" s="840"/>
      <c r="V44" s="840"/>
      <c r="W44" s="79"/>
      <c r="X44" s="840"/>
      <c r="Y44" s="840"/>
      <c r="Z44" s="840"/>
      <c r="AA44" s="840"/>
      <c r="AB44" s="841"/>
    </row>
    <row r="45" spans="2:28" ht="12.75">
      <c r="B45" s="842" t="s">
        <v>37</v>
      </c>
      <c r="C45" s="843"/>
      <c r="D45" s="843"/>
      <c r="E45" s="843"/>
      <c r="F45" s="843"/>
      <c r="G45" s="843"/>
      <c r="H45" s="79"/>
      <c r="I45" s="843" t="s">
        <v>125</v>
      </c>
      <c r="J45" s="843"/>
      <c r="K45" s="843"/>
      <c r="L45" s="843"/>
      <c r="M45" s="843"/>
      <c r="N45" s="843"/>
      <c r="O45" s="843"/>
      <c r="P45" s="79"/>
      <c r="Q45" s="843" t="s">
        <v>126</v>
      </c>
      <c r="R45" s="843"/>
      <c r="S45" s="843"/>
      <c r="T45" s="843"/>
      <c r="U45" s="843"/>
      <c r="V45" s="843"/>
      <c r="W45" s="79"/>
      <c r="X45" s="843" t="s">
        <v>23</v>
      </c>
      <c r="Y45" s="843"/>
      <c r="Z45" s="843"/>
      <c r="AA45" s="843"/>
      <c r="AB45" s="844"/>
    </row>
    <row r="46" spans="2:28" ht="12" customHeight="1">
      <c r="B46" s="78"/>
      <c r="C46" s="79"/>
      <c r="D46" s="79"/>
      <c r="E46" s="79"/>
      <c r="F46" s="79"/>
      <c r="G46" s="79"/>
      <c r="H46" s="79"/>
      <c r="I46" s="79"/>
      <c r="J46" s="79"/>
      <c r="K46" s="79"/>
      <c r="L46" s="79"/>
      <c r="M46" s="79"/>
      <c r="N46" s="79"/>
      <c r="O46" s="79"/>
      <c r="P46" s="79"/>
      <c r="Q46" s="79"/>
      <c r="R46" s="79"/>
      <c r="S46" s="79"/>
      <c r="T46" s="79"/>
      <c r="U46" s="79"/>
      <c r="V46" s="79"/>
      <c r="W46" s="79"/>
      <c r="X46" s="79"/>
      <c r="Y46" s="79"/>
      <c r="Z46" s="79"/>
      <c r="AA46" s="79"/>
      <c r="AB46" s="80"/>
    </row>
    <row r="47" spans="2:28" ht="11.25" customHeight="1" thickBot="1">
      <c r="B47" s="89"/>
      <c r="C47" s="90"/>
      <c r="D47" s="90"/>
      <c r="E47" s="90"/>
      <c r="F47" s="90"/>
      <c r="G47" s="90"/>
      <c r="H47" s="90"/>
      <c r="I47" s="90"/>
      <c r="J47" s="90"/>
      <c r="K47" s="90"/>
      <c r="L47" s="90"/>
      <c r="M47" s="90"/>
      <c r="N47" s="90"/>
      <c r="O47" s="90"/>
      <c r="P47" s="90"/>
      <c r="Q47" s="90"/>
      <c r="R47" s="90"/>
      <c r="S47" s="90"/>
      <c r="T47" s="90"/>
      <c r="U47" s="90"/>
      <c r="V47" s="90"/>
      <c r="W47" s="90"/>
      <c r="X47" s="90"/>
      <c r="Y47" s="90"/>
      <c r="Z47" s="90"/>
      <c r="AA47" s="90"/>
      <c r="AB47" s="91"/>
    </row>
    <row r="48" spans="2:28" ht="9" customHeight="1"/>
  </sheetData>
  <mergeCells count="286">
    <mergeCell ref="C44:F44"/>
    <mergeCell ref="Q44:V44"/>
    <mergeCell ref="X44:AB44"/>
    <mergeCell ref="B45:G45"/>
    <mergeCell ref="I45:O45"/>
    <mergeCell ref="Q45:V45"/>
    <mergeCell ref="X45:AB45"/>
    <mergeCell ref="AA40:AB40"/>
    <mergeCell ref="B41:C41"/>
    <mergeCell ref="D41:E41"/>
    <mergeCell ref="F41:G41"/>
    <mergeCell ref="H41:I41"/>
    <mergeCell ref="J41:K41"/>
    <mergeCell ref="L41:M41"/>
    <mergeCell ref="O41:P41"/>
    <mergeCell ref="Q41:R41"/>
    <mergeCell ref="S41:Z41"/>
    <mergeCell ref="AA41:AB41"/>
    <mergeCell ref="B40:C40"/>
    <mergeCell ref="D40:E40"/>
    <mergeCell ref="F40:G40"/>
    <mergeCell ref="H40:I40"/>
    <mergeCell ref="J40:K40"/>
    <mergeCell ref="L40:M40"/>
    <mergeCell ref="O40:P40"/>
    <mergeCell ref="Q40:R40"/>
    <mergeCell ref="S40:Z40"/>
    <mergeCell ref="AA38:AB38"/>
    <mergeCell ref="B39:C39"/>
    <mergeCell ref="D39:E39"/>
    <mergeCell ref="F39:G39"/>
    <mergeCell ref="H39:I39"/>
    <mergeCell ref="J39:K39"/>
    <mergeCell ref="L39:M39"/>
    <mergeCell ref="O39:P39"/>
    <mergeCell ref="Q39:R39"/>
    <mergeCell ref="S39:Z39"/>
    <mergeCell ref="AA39:AB39"/>
    <mergeCell ref="B38:C38"/>
    <mergeCell ref="D38:E38"/>
    <mergeCell ref="F38:G38"/>
    <mergeCell ref="H38:I38"/>
    <mergeCell ref="J38:K38"/>
    <mergeCell ref="L38:M38"/>
    <mergeCell ref="O38:P38"/>
    <mergeCell ref="Q38:R38"/>
    <mergeCell ref="S38:Z38"/>
    <mergeCell ref="AA36:AB36"/>
    <mergeCell ref="B37:C37"/>
    <mergeCell ref="D37:E37"/>
    <mergeCell ref="F37:G37"/>
    <mergeCell ref="H37:I37"/>
    <mergeCell ref="J37:K37"/>
    <mergeCell ref="L37:M37"/>
    <mergeCell ref="O37:P37"/>
    <mergeCell ref="Q37:R37"/>
    <mergeCell ref="S37:Z37"/>
    <mergeCell ref="AA37:AB37"/>
    <mergeCell ref="B36:C36"/>
    <mergeCell ref="D36:E36"/>
    <mergeCell ref="F36:G36"/>
    <mergeCell ref="H36:I36"/>
    <mergeCell ref="J36:K36"/>
    <mergeCell ref="L36:M36"/>
    <mergeCell ref="O36:P36"/>
    <mergeCell ref="Q36:R36"/>
    <mergeCell ref="S36:Z36"/>
    <mergeCell ref="AA34:AB34"/>
    <mergeCell ref="B35:C35"/>
    <mergeCell ref="D35:E35"/>
    <mergeCell ref="F35:G35"/>
    <mergeCell ref="H35:I35"/>
    <mergeCell ref="J35:K35"/>
    <mergeCell ref="L35:M35"/>
    <mergeCell ref="O35:P35"/>
    <mergeCell ref="Q35:R35"/>
    <mergeCell ref="S35:Z35"/>
    <mergeCell ref="AA35:AB35"/>
    <mergeCell ref="B34:C34"/>
    <mergeCell ref="D34:E34"/>
    <mergeCell ref="F34:G34"/>
    <mergeCell ref="H34:I34"/>
    <mergeCell ref="J34:K34"/>
    <mergeCell ref="L34:M34"/>
    <mergeCell ref="O34:P34"/>
    <mergeCell ref="Q34:R34"/>
    <mergeCell ref="S34:Z34"/>
    <mergeCell ref="AA32:AB32"/>
    <mergeCell ref="B33:C33"/>
    <mergeCell ref="D33:E33"/>
    <mergeCell ref="F33:G33"/>
    <mergeCell ref="H33:I33"/>
    <mergeCell ref="J33:K33"/>
    <mergeCell ref="L33:M33"/>
    <mergeCell ref="O33:P33"/>
    <mergeCell ref="Q33:R33"/>
    <mergeCell ref="S33:Z33"/>
    <mergeCell ref="AA33:AB33"/>
    <mergeCell ref="B32:C32"/>
    <mergeCell ref="D32:E32"/>
    <mergeCell ref="F32:G32"/>
    <mergeCell ref="H32:I32"/>
    <mergeCell ref="J32:K32"/>
    <mergeCell ref="L32:M32"/>
    <mergeCell ref="O32:P32"/>
    <mergeCell ref="Q32:R32"/>
    <mergeCell ref="S32:Z32"/>
    <mergeCell ref="AA30:AB30"/>
    <mergeCell ref="B31:C31"/>
    <mergeCell ref="D31:E31"/>
    <mergeCell ref="F31:G31"/>
    <mergeCell ref="H31:I31"/>
    <mergeCell ref="J31:K31"/>
    <mergeCell ref="L31:M31"/>
    <mergeCell ref="O31:P31"/>
    <mergeCell ref="Q31:R31"/>
    <mergeCell ref="S31:Z31"/>
    <mergeCell ref="AA31:AB31"/>
    <mergeCell ref="B30:C30"/>
    <mergeCell ref="D30:E30"/>
    <mergeCell ref="F30:G30"/>
    <mergeCell ref="H30:I30"/>
    <mergeCell ref="J30:K30"/>
    <mergeCell ref="L30:M30"/>
    <mergeCell ref="O30:P30"/>
    <mergeCell ref="Q30:R30"/>
    <mergeCell ref="S30:Z30"/>
    <mergeCell ref="AA28:AB28"/>
    <mergeCell ref="B29:C29"/>
    <mergeCell ref="D29:E29"/>
    <mergeCell ref="F29:G29"/>
    <mergeCell ref="H29:I29"/>
    <mergeCell ref="J29:K29"/>
    <mergeCell ref="L29:M29"/>
    <mergeCell ref="O29:P29"/>
    <mergeCell ref="Q29:R29"/>
    <mergeCell ref="S29:Z29"/>
    <mergeCell ref="AA29:AB29"/>
    <mergeCell ref="B28:C28"/>
    <mergeCell ref="D28:E28"/>
    <mergeCell ref="F28:G28"/>
    <mergeCell ref="H28:I28"/>
    <mergeCell ref="J28:K28"/>
    <mergeCell ref="L28:M28"/>
    <mergeCell ref="O28:P28"/>
    <mergeCell ref="Q28:R28"/>
    <mergeCell ref="S28:Z28"/>
    <mergeCell ref="AA26:AB26"/>
    <mergeCell ref="B27:C27"/>
    <mergeCell ref="D27:E27"/>
    <mergeCell ref="F27:G27"/>
    <mergeCell ref="H27:I27"/>
    <mergeCell ref="J27:K27"/>
    <mergeCell ref="L27:M27"/>
    <mergeCell ref="O27:P27"/>
    <mergeCell ref="Q27:R27"/>
    <mergeCell ref="S27:Z27"/>
    <mergeCell ref="AA27:AB27"/>
    <mergeCell ref="B26:C26"/>
    <mergeCell ref="D26:E26"/>
    <mergeCell ref="F26:G26"/>
    <mergeCell ref="H26:I26"/>
    <mergeCell ref="J26:K26"/>
    <mergeCell ref="L26:M26"/>
    <mergeCell ref="O26:P26"/>
    <mergeCell ref="Q26:R26"/>
    <mergeCell ref="S26:Z26"/>
    <mergeCell ref="AA24:AB24"/>
    <mergeCell ref="B25:C25"/>
    <mergeCell ref="D25:E25"/>
    <mergeCell ref="F25:G25"/>
    <mergeCell ref="H25:I25"/>
    <mergeCell ref="J25:K25"/>
    <mergeCell ref="L25:M25"/>
    <mergeCell ref="O25:P25"/>
    <mergeCell ref="Q25:R25"/>
    <mergeCell ref="S25:Z25"/>
    <mergeCell ref="AA25:AB25"/>
    <mergeCell ref="B24:C24"/>
    <mergeCell ref="D24:E24"/>
    <mergeCell ref="F24:G24"/>
    <mergeCell ref="H24:I24"/>
    <mergeCell ref="J24:K24"/>
    <mergeCell ref="L24:M24"/>
    <mergeCell ref="O24:P24"/>
    <mergeCell ref="Q24:R24"/>
    <mergeCell ref="S24:Z24"/>
    <mergeCell ref="AA22:AB22"/>
    <mergeCell ref="B23:C23"/>
    <mergeCell ref="D23:E23"/>
    <mergeCell ref="F23:G23"/>
    <mergeCell ref="H23:I23"/>
    <mergeCell ref="J23:K23"/>
    <mergeCell ref="L23:M23"/>
    <mergeCell ref="O23:P23"/>
    <mergeCell ref="Q23:R23"/>
    <mergeCell ref="S23:Z23"/>
    <mergeCell ref="AA23:AB23"/>
    <mergeCell ref="B22:C22"/>
    <mergeCell ref="D22:E22"/>
    <mergeCell ref="F22:G22"/>
    <mergeCell ref="H22:I22"/>
    <mergeCell ref="J22:K22"/>
    <mergeCell ref="L22:M22"/>
    <mergeCell ref="O22:P22"/>
    <mergeCell ref="Q22:R22"/>
    <mergeCell ref="S22:Z22"/>
    <mergeCell ref="AA20:AB20"/>
    <mergeCell ref="B21:C21"/>
    <mergeCell ref="D21:E21"/>
    <mergeCell ref="F21:G21"/>
    <mergeCell ref="H21:I21"/>
    <mergeCell ref="J21:K21"/>
    <mergeCell ref="L21:M21"/>
    <mergeCell ref="O21:P21"/>
    <mergeCell ref="Q21:R21"/>
    <mergeCell ref="S21:Z21"/>
    <mergeCell ref="AA21:AB21"/>
    <mergeCell ref="B20:C20"/>
    <mergeCell ref="D20:E20"/>
    <mergeCell ref="F20:G20"/>
    <mergeCell ref="H20:I20"/>
    <mergeCell ref="J20:K20"/>
    <mergeCell ref="L20:M20"/>
    <mergeCell ref="O20:P20"/>
    <mergeCell ref="Q20:R20"/>
    <mergeCell ref="S20:Z20"/>
    <mergeCell ref="S18:Z18"/>
    <mergeCell ref="AA18:AB18"/>
    <mergeCell ref="B19:C19"/>
    <mergeCell ref="D19:E19"/>
    <mergeCell ref="F19:G19"/>
    <mergeCell ref="H19:I19"/>
    <mergeCell ref="J19:K19"/>
    <mergeCell ref="L19:M19"/>
    <mergeCell ref="O19:P19"/>
    <mergeCell ref="Q19:R19"/>
    <mergeCell ref="S19:Z19"/>
    <mergeCell ref="AA19:AB19"/>
    <mergeCell ref="B18:C18"/>
    <mergeCell ref="D18:E18"/>
    <mergeCell ref="F18:G18"/>
    <mergeCell ref="H18:I18"/>
    <mergeCell ref="J18:K18"/>
    <mergeCell ref="L18:M18"/>
    <mergeCell ref="O18:P18"/>
    <mergeCell ref="Q18:R18"/>
    <mergeCell ref="O15:R15"/>
    <mergeCell ref="S15:Z17"/>
    <mergeCell ref="AA15:AB17"/>
    <mergeCell ref="B16:C16"/>
    <mergeCell ref="D16:M16"/>
    <mergeCell ref="O16:P16"/>
    <mergeCell ref="Q16:R16"/>
    <mergeCell ref="O17:P17"/>
    <mergeCell ref="Q17:R17"/>
    <mergeCell ref="B17:C17"/>
    <mergeCell ref="D17:E17"/>
    <mergeCell ref="F17:G17"/>
    <mergeCell ref="H17:I17"/>
    <mergeCell ref="J17:K17"/>
    <mergeCell ref="L17:M17"/>
    <mergeCell ref="B15:C15"/>
    <mergeCell ref="D15:M15"/>
    <mergeCell ref="N15:N16"/>
    <mergeCell ref="Q10:AB10"/>
    <mergeCell ref="Q11:AB11"/>
    <mergeCell ref="B13:AB13"/>
    <mergeCell ref="D5:J5"/>
    <mergeCell ref="M5:S5"/>
    <mergeCell ref="W5:AB5"/>
    <mergeCell ref="I6:M6"/>
    <mergeCell ref="X6:AB6"/>
    <mergeCell ref="F7:G7"/>
    <mergeCell ref="L7:M7"/>
    <mergeCell ref="T7:U7"/>
    <mergeCell ref="AA7:AB7"/>
    <mergeCell ref="B2:B3"/>
    <mergeCell ref="G2:V3"/>
    <mergeCell ref="W2:Y2"/>
    <mergeCell ref="Z2:AB2"/>
    <mergeCell ref="W3:Y3"/>
    <mergeCell ref="Z3:AB3"/>
    <mergeCell ref="I8:M8"/>
    <mergeCell ref="X8:AB8"/>
    <mergeCell ref="Q9:AB9"/>
  </mergeCells>
  <printOptions horizontalCentered="1" verticalCentered="1"/>
  <pageMargins left="0.31496062992125984" right="0.31496062992125984" top="0.35433070866141736" bottom="0.15748031496062992" header="0.31496062992125984" footer="0.31496062992125984"/>
  <pageSetup paperSize="9" scale="85"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tabColor rgb="FFFF0000"/>
    <pageSetUpPr fitToPage="1"/>
  </sheetPr>
  <dimension ref="B1:T200"/>
  <sheetViews>
    <sheetView workbookViewId="0"/>
  </sheetViews>
  <sheetFormatPr baseColWidth="10" defaultColWidth="0" defaultRowHeight="0" customHeight="1" zeroHeight="1"/>
  <cols>
    <col min="1" max="1" width="1.28515625" style="40" customWidth="1"/>
    <col min="2" max="4" width="9" style="40" customWidth="1"/>
    <col min="5" max="7" width="12.7109375" style="40" customWidth="1"/>
    <col min="8" max="8" width="7.85546875" style="40" customWidth="1"/>
    <col min="9" max="9" width="9" style="40" customWidth="1"/>
    <col min="10" max="10" width="11.28515625" style="40" customWidth="1"/>
    <col min="11" max="11" width="10.85546875" style="40" customWidth="1"/>
    <col min="12" max="14" width="12.7109375" style="40" customWidth="1"/>
    <col min="15" max="15" width="1.5703125" style="40" customWidth="1"/>
    <col min="16" max="16" width="8.5703125" style="40" hidden="1" customWidth="1"/>
    <col min="17" max="18" width="0" style="40" hidden="1" customWidth="1"/>
    <col min="19" max="19" width="8.28515625" style="40" hidden="1" customWidth="1"/>
    <col min="20" max="20" width="9.7109375" style="40" hidden="1" customWidth="1"/>
    <col min="21" max="16384" width="0" style="40" hidden="1"/>
  </cols>
  <sheetData>
    <row r="1" spans="2:17" ht="9" customHeight="1" thickBot="1"/>
    <row r="2" spans="2:17" ht="19.5" customHeight="1">
      <c r="B2" s="41"/>
      <c r="C2" s="42"/>
      <c r="D2" s="42"/>
      <c r="E2" s="851" t="s">
        <v>31</v>
      </c>
      <c r="F2" s="852"/>
      <c r="G2" s="852"/>
      <c r="H2" s="852"/>
      <c r="I2" s="852"/>
      <c r="J2" s="852"/>
      <c r="K2" s="853"/>
      <c r="L2" s="209" t="s">
        <v>32</v>
      </c>
      <c r="M2" s="210" t="s">
        <v>2</v>
      </c>
      <c r="N2" s="45"/>
    </row>
    <row r="3" spans="2:17" ht="20.25" customHeight="1" thickBot="1">
      <c r="B3" s="46"/>
      <c r="C3" s="47"/>
      <c r="D3" s="47"/>
      <c r="E3" s="854"/>
      <c r="F3" s="854"/>
      <c r="G3" s="854"/>
      <c r="H3" s="854"/>
      <c r="I3" s="854"/>
      <c r="J3" s="854"/>
      <c r="K3" s="855"/>
      <c r="L3" s="211" t="s">
        <v>33</v>
      </c>
      <c r="M3" s="212">
        <v>42917</v>
      </c>
      <c r="N3" s="50"/>
    </row>
    <row r="4" spans="2:17" ht="18.75">
      <c r="B4" s="51"/>
      <c r="C4" s="52"/>
      <c r="D4" s="52"/>
      <c r="E4" s="52"/>
      <c r="F4" s="53"/>
      <c r="G4" s="53"/>
      <c r="H4" s="53"/>
      <c r="I4" s="53"/>
      <c r="J4" s="53"/>
      <c r="K4" s="53"/>
      <c r="L4" s="53"/>
      <c r="M4" s="53"/>
      <c r="N4" s="54"/>
    </row>
    <row r="5" spans="2:17" ht="18" customHeight="1">
      <c r="B5" s="51" t="s">
        <v>34</v>
      </c>
      <c r="C5" s="767" t="s">
        <v>6</v>
      </c>
      <c r="D5" s="767"/>
      <c r="E5" s="767"/>
      <c r="F5" s="52" t="s">
        <v>35</v>
      </c>
      <c r="G5" s="767">
        <f>'Data Entry'!B13</f>
        <v>0</v>
      </c>
      <c r="H5" s="767"/>
      <c r="I5" s="767"/>
      <c r="J5" s="767"/>
      <c r="K5" s="52"/>
      <c r="L5" s="52" t="s">
        <v>36</v>
      </c>
      <c r="M5" s="771">
        <f>'Data Entry'!B11</f>
        <v>0</v>
      </c>
      <c r="N5" s="772"/>
    </row>
    <row r="6" spans="2:17" ht="18" customHeight="1">
      <c r="B6" s="51"/>
      <c r="C6" s="52"/>
      <c r="D6" s="52"/>
      <c r="E6" s="52"/>
      <c r="F6" s="52"/>
      <c r="G6" s="52"/>
      <c r="H6" s="52"/>
      <c r="I6" s="52"/>
      <c r="J6" s="52"/>
      <c r="K6" s="52"/>
      <c r="L6" s="52"/>
      <c r="M6" s="52"/>
      <c r="N6" s="54"/>
    </row>
    <row r="7" spans="2:17" ht="18" customHeight="1">
      <c r="B7" s="51" t="s">
        <v>37</v>
      </c>
      <c r="C7" s="773" t="s">
        <v>318</v>
      </c>
      <c r="D7" s="773"/>
      <c r="E7" s="773"/>
      <c r="F7" s="52" t="s">
        <v>38</v>
      </c>
      <c r="G7" s="774">
        <f>'Data Entry'!B23</f>
        <v>0</v>
      </c>
      <c r="H7" s="774"/>
      <c r="I7" s="774"/>
      <c r="J7" s="774"/>
      <c r="K7" s="52"/>
      <c r="L7" s="52" t="s">
        <v>39</v>
      </c>
      <c r="M7" s="856">
        <v>43436</v>
      </c>
      <c r="N7" s="857"/>
    </row>
    <row r="8" spans="2:17" ht="4.1500000000000004" customHeight="1">
      <c r="B8" s="51"/>
      <c r="C8" s="55"/>
      <c r="D8" s="55"/>
      <c r="E8" s="55"/>
      <c r="F8" s="52"/>
      <c r="G8" s="52"/>
      <c r="H8" s="52"/>
      <c r="I8" s="55"/>
      <c r="J8" s="55"/>
      <c r="K8" s="55"/>
      <c r="L8" s="52"/>
      <c r="M8" s="52"/>
      <c r="N8" s="54"/>
    </row>
    <row r="9" spans="2:17" ht="18" customHeight="1">
      <c r="B9" s="768" t="s">
        <v>40</v>
      </c>
      <c r="C9" s="769"/>
      <c r="D9" s="769"/>
      <c r="E9" s="769"/>
      <c r="F9" s="769"/>
      <c r="G9" s="769"/>
      <c r="H9" s="55"/>
      <c r="I9" s="769" t="s">
        <v>301</v>
      </c>
      <c r="J9" s="769"/>
      <c r="K9" s="769"/>
      <c r="L9" s="769"/>
      <c r="M9" s="769"/>
      <c r="N9" s="770"/>
      <c r="Q9" s="56"/>
    </row>
    <row r="10" spans="2:17" ht="18" customHeight="1">
      <c r="B10" s="51" t="s">
        <v>42</v>
      </c>
      <c r="C10" s="52"/>
      <c r="D10" s="52"/>
      <c r="E10" s="668" t="s">
        <v>300</v>
      </c>
      <c r="F10" s="668"/>
      <c r="G10" s="668"/>
      <c r="H10" s="52"/>
      <c r="I10" s="52" t="s">
        <v>43</v>
      </c>
      <c r="J10" s="52"/>
      <c r="K10" s="52"/>
      <c r="L10" s="668"/>
      <c r="M10" s="668"/>
      <c r="N10" s="781"/>
    </row>
    <row r="11" spans="2:17" ht="23.25" customHeight="1">
      <c r="B11" s="51"/>
      <c r="C11" s="52"/>
      <c r="D11" s="52"/>
      <c r="E11" s="242"/>
      <c r="F11" s="242" t="s">
        <v>309</v>
      </c>
      <c r="G11" s="242"/>
      <c r="H11" s="52"/>
      <c r="I11" s="52"/>
      <c r="J11" s="52"/>
      <c r="K11" s="52"/>
      <c r="L11" s="242"/>
      <c r="M11" s="242" t="s">
        <v>309</v>
      </c>
      <c r="N11" s="245"/>
    </row>
    <row r="12" spans="2:17" ht="26.25" customHeight="1">
      <c r="B12" s="670" t="s">
        <v>286</v>
      </c>
      <c r="C12" s="671"/>
      <c r="D12" s="52" t="s">
        <v>44</v>
      </c>
      <c r="E12" s="668" t="s">
        <v>290</v>
      </c>
      <c r="F12" s="668"/>
      <c r="G12" s="668"/>
      <c r="H12" s="52"/>
      <c r="I12" s="673" t="s">
        <v>288</v>
      </c>
      <c r="J12" s="674"/>
      <c r="K12" s="52" t="s">
        <v>44</v>
      </c>
      <c r="L12" s="668"/>
      <c r="M12" s="668"/>
      <c r="N12" s="781"/>
    </row>
    <row r="13" spans="2:17" ht="26.25" customHeight="1">
      <c r="B13" s="672"/>
      <c r="C13" s="671"/>
      <c r="D13" s="52" t="s">
        <v>45</v>
      </c>
      <c r="E13" s="779" t="s">
        <v>312</v>
      </c>
      <c r="F13" s="779"/>
      <c r="G13" s="779"/>
      <c r="H13" s="52"/>
      <c r="I13" s="673"/>
      <c r="J13" s="674"/>
      <c r="K13" s="52" t="s">
        <v>45</v>
      </c>
      <c r="L13" s="745"/>
      <c r="M13" s="745"/>
      <c r="N13" s="746"/>
    </row>
    <row r="14" spans="2:17" ht="26.25" customHeight="1" thickBot="1">
      <c r="B14" s="672"/>
      <c r="C14" s="671"/>
      <c r="D14" s="251" t="s">
        <v>46</v>
      </c>
      <c r="E14" s="845" t="s">
        <v>290</v>
      </c>
      <c r="F14" s="845"/>
      <c r="G14" s="845"/>
      <c r="H14" s="52"/>
      <c r="I14" s="673"/>
      <c r="J14" s="674"/>
      <c r="K14" s="251" t="s">
        <v>46</v>
      </c>
      <c r="L14" s="845"/>
      <c r="M14" s="845"/>
      <c r="N14" s="846"/>
    </row>
    <row r="15" spans="2:17" ht="26.25" hidden="1" customHeight="1" thickTop="1">
      <c r="B15" s="847" t="s">
        <v>287</v>
      </c>
      <c r="C15" s="848"/>
      <c r="D15" s="52" t="s">
        <v>44</v>
      </c>
      <c r="E15" s="230" t="s">
        <v>285</v>
      </c>
      <c r="F15" s="248" t="s">
        <v>290</v>
      </c>
      <c r="G15" s="230" t="s">
        <v>290</v>
      </c>
      <c r="H15" s="52"/>
      <c r="I15" s="849" t="s">
        <v>289</v>
      </c>
      <c r="J15" s="850"/>
      <c r="K15" s="52" t="s">
        <v>44</v>
      </c>
      <c r="L15" s="236"/>
      <c r="M15" s="243"/>
      <c r="N15" s="237"/>
    </row>
    <row r="16" spans="2:17" ht="26.25" hidden="1" customHeight="1">
      <c r="B16" s="672"/>
      <c r="C16" s="671"/>
      <c r="D16" s="52" t="s">
        <v>45</v>
      </c>
      <c r="E16" s="249" t="s">
        <v>293</v>
      </c>
      <c r="F16" s="250" t="s">
        <v>294</v>
      </c>
      <c r="G16" s="249" t="s">
        <v>292</v>
      </c>
      <c r="H16" s="52"/>
      <c r="I16" s="673"/>
      <c r="J16" s="674"/>
      <c r="K16" s="52" t="s">
        <v>45</v>
      </c>
      <c r="L16" s="240"/>
      <c r="M16" s="244"/>
      <c r="N16" s="241"/>
    </row>
    <row r="17" spans="2:14" ht="26.25" hidden="1" customHeight="1">
      <c r="B17" s="672"/>
      <c r="C17" s="671"/>
      <c r="D17" s="52" t="s">
        <v>46</v>
      </c>
      <c r="E17" s="238" t="s">
        <v>285</v>
      </c>
      <c r="F17" s="235" t="s">
        <v>290</v>
      </c>
      <c r="G17" s="238" t="s">
        <v>290</v>
      </c>
      <c r="H17" s="52"/>
      <c r="I17" s="673"/>
      <c r="J17" s="674"/>
      <c r="K17" s="52" t="s">
        <v>46</v>
      </c>
      <c r="L17" s="240"/>
      <c r="M17" s="244"/>
      <c r="N17" s="241"/>
    </row>
    <row r="18" spans="2:14" ht="18" customHeight="1" thickTop="1">
      <c r="B18" s="51" t="s">
        <v>47</v>
      </c>
      <c r="C18" s="52"/>
      <c r="D18" s="52"/>
      <c r="E18" s="668"/>
      <c r="F18" s="669"/>
      <c r="G18" s="669"/>
      <c r="H18" s="52"/>
      <c r="I18" s="52" t="s">
        <v>48</v>
      </c>
      <c r="J18" s="52"/>
      <c r="K18" s="52"/>
      <c r="L18" s="745"/>
      <c r="M18" s="745"/>
      <c r="N18" s="746"/>
    </row>
    <row r="19" spans="2:14" ht="18" customHeight="1">
      <c r="B19" s="51" t="s">
        <v>49</v>
      </c>
      <c r="C19" s="52"/>
      <c r="D19" s="52"/>
      <c r="E19" s="668" t="s">
        <v>249</v>
      </c>
      <c r="F19" s="669"/>
      <c r="G19" s="669"/>
      <c r="H19" s="52"/>
      <c r="I19" s="52" t="s">
        <v>49</v>
      </c>
      <c r="J19" s="52"/>
      <c r="K19" s="52"/>
      <c r="L19" s="668"/>
      <c r="M19" s="669"/>
      <c r="N19" s="727"/>
    </row>
    <row r="20" spans="2:14" ht="18" customHeight="1">
      <c r="B20" s="51" t="s">
        <v>50</v>
      </c>
      <c r="C20" s="52"/>
      <c r="D20" s="52"/>
      <c r="E20" s="668" t="s">
        <v>249</v>
      </c>
      <c r="F20" s="669"/>
      <c r="G20" s="669"/>
      <c r="H20" s="52"/>
      <c r="I20" s="52" t="s">
        <v>50</v>
      </c>
      <c r="J20" s="52"/>
      <c r="K20" s="52"/>
      <c r="L20" s="668"/>
      <c r="M20" s="669"/>
      <c r="N20" s="727"/>
    </row>
    <row r="21" spans="2:14" ht="18" customHeight="1">
      <c r="B21" s="51" t="s">
        <v>51</v>
      </c>
      <c r="C21" s="52"/>
      <c r="D21" s="52"/>
      <c r="E21" s="668" t="s">
        <v>52</v>
      </c>
      <c r="F21" s="669"/>
      <c r="G21" s="669"/>
      <c r="H21" s="52"/>
      <c r="I21" s="52" t="s">
        <v>200</v>
      </c>
      <c r="J21" s="52"/>
      <c r="K21" s="52"/>
      <c r="L21" s="668"/>
      <c r="M21" s="669"/>
      <c r="N21" s="727"/>
    </row>
    <row r="22" spans="2:14" ht="18" customHeight="1">
      <c r="B22" s="51" t="s">
        <v>53</v>
      </c>
      <c r="C22" s="52"/>
      <c r="D22" s="52"/>
      <c r="E22" s="745">
        <v>0.99860000000000004</v>
      </c>
      <c r="F22" s="758"/>
      <c r="G22" s="758"/>
      <c r="H22" s="52"/>
      <c r="I22" s="52" t="s">
        <v>243</v>
      </c>
      <c r="J22" s="52"/>
      <c r="K22" s="52"/>
      <c r="L22" s="668"/>
      <c r="M22" s="669"/>
      <c r="N22" s="727"/>
    </row>
    <row r="23" spans="2:14" ht="18" customHeight="1">
      <c r="B23" s="51"/>
      <c r="C23" s="52"/>
      <c r="D23" s="52"/>
      <c r="E23" s="759"/>
      <c r="F23" s="760"/>
      <c r="G23" s="760"/>
      <c r="H23" s="52"/>
      <c r="I23" s="52" t="s">
        <v>244</v>
      </c>
      <c r="J23" s="52"/>
      <c r="K23" s="52"/>
      <c r="L23" s="668"/>
      <c r="M23" s="669"/>
      <c r="N23" s="727"/>
    </row>
    <row r="24" spans="2:14" ht="18" customHeight="1">
      <c r="B24" s="213"/>
      <c r="G24" s="52"/>
      <c r="H24" s="52"/>
      <c r="I24" s="52" t="s">
        <v>54</v>
      </c>
      <c r="J24" s="52"/>
      <c r="K24" s="52"/>
      <c r="L24" s="668"/>
      <c r="M24" s="669"/>
      <c r="N24" s="727"/>
    </row>
    <row r="25" spans="2:14" ht="18" customHeight="1" thickBot="1">
      <c r="B25" s="213"/>
      <c r="G25" s="52"/>
      <c r="H25" s="52"/>
      <c r="I25" s="52" t="s">
        <v>55</v>
      </c>
      <c r="J25" s="52"/>
      <c r="K25" s="52"/>
      <c r="L25" s="668"/>
      <c r="M25" s="669"/>
      <c r="N25" s="727"/>
    </row>
    <row r="26" spans="2:14" ht="18" customHeight="1">
      <c r="B26" s="140"/>
      <c r="C26" s="750" t="s">
        <v>57</v>
      </c>
      <c r="D26" s="751"/>
      <c r="E26" s="751"/>
      <c r="F26" s="752"/>
      <c r="G26" s="52"/>
      <c r="H26" s="52"/>
      <c r="I26" s="52" t="s">
        <v>56</v>
      </c>
      <c r="J26" s="52"/>
      <c r="K26" s="52"/>
      <c r="L26" s="745"/>
      <c r="M26" s="745"/>
      <c r="N26" s="746"/>
    </row>
    <row r="27" spans="2:14" ht="18" customHeight="1" thickBot="1">
      <c r="B27" s="140"/>
      <c r="C27" s="753" t="s">
        <v>59</v>
      </c>
      <c r="D27" s="754"/>
      <c r="E27" s="755" t="s">
        <v>60</v>
      </c>
      <c r="F27" s="756"/>
      <c r="G27" s="52"/>
      <c r="H27" s="52"/>
      <c r="I27" s="52" t="s">
        <v>58</v>
      </c>
      <c r="J27" s="52"/>
      <c r="K27" s="52"/>
      <c r="L27" s="745"/>
      <c r="M27" s="745"/>
      <c r="N27" s="746"/>
    </row>
    <row r="28" spans="2:14" ht="20.25" customHeight="1">
      <c r="B28" s="143" t="s">
        <v>62</v>
      </c>
      <c r="C28" s="659" t="s">
        <v>245</v>
      </c>
      <c r="D28" s="660"/>
      <c r="E28" s="660"/>
      <c r="F28" s="661"/>
      <c r="G28" s="52"/>
      <c r="H28" s="52"/>
      <c r="I28" s="52" t="s">
        <v>61</v>
      </c>
      <c r="J28" s="52"/>
      <c r="K28" s="52"/>
      <c r="L28" s="238"/>
      <c r="M28" s="238"/>
      <c r="N28" s="239"/>
    </row>
    <row r="29" spans="2:14" ht="20.25" customHeight="1">
      <c r="B29" s="144" t="s">
        <v>63</v>
      </c>
      <c r="C29" s="662"/>
      <c r="D29" s="663"/>
      <c r="E29" s="663"/>
      <c r="F29" s="664"/>
      <c r="G29" s="52"/>
      <c r="H29" s="52"/>
      <c r="I29" s="52" t="s">
        <v>246</v>
      </c>
      <c r="J29" s="52"/>
      <c r="K29" s="52"/>
      <c r="L29" s="238"/>
      <c r="M29" s="238"/>
      <c r="N29" s="239"/>
    </row>
    <row r="30" spans="2:14" ht="18" customHeight="1" thickBot="1">
      <c r="B30" s="145" t="s">
        <v>64</v>
      </c>
      <c r="C30" s="665"/>
      <c r="D30" s="666"/>
      <c r="E30" s="666"/>
      <c r="F30" s="667"/>
      <c r="G30" s="52"/>
      <c r="H30" s="52"/>
      <c r="I30" s="52" t="s">
        <v>247</v>
      </c>
      <c r="J30" s="52"/>
      <c r="K30" s="52"/>
      <c r="L30" s="668"/>
      <c r="M30" s="669"/>
      <c r="N30" s="727"/>
    </row>
    <row r="31" spans="2:14" ht="18" customHeight="1">
      <c r="B31" s="213"/>
      <c r="G31" s="52"/>
      <c r="H31" s="52"/>
      <c r="I31" s="52" t="s">
        <v>248</v>
      </c>
      <c r="J31" s="52"/>
      <c r="K31" s="52"/>
      <c r="L31" s="668"/>
      <c r="M31" s="669"/>
      <c r="N31" s="727"/>
    </row>
    <row r="32" spans="2:14" ht="18" customHeight="1" thickBot="1">
      <c r="B32" s="213"/>
      <c r="G32" s="52"/>
      <c r="H32" s="52"/>
      <c r="I32" s="52"/>
      <c r="J32" s="52"/>
      <c r="K32" s="52"/>
      <c r="L32" s="728"/>
      <c r="M32" s="729"/>
      <c r="N32" s="730"/>
    </row>
    <row r="33" spans="2:14" ht="18" customHeight="1">
      <c r="B33" s="731" t="s">
        <v>66</v>
      </c>
      <c r="C33" s="732"/>
      <c r="D33" s="735"/>
      <c r="E33" s="736"/>
      <c r="F33" s="737"/>
      <c r="G33" s="141"/>
      <c r="H33" s="741" t="s">
        <v>65</v>
      </c>
      <c r="I33" s="742"/>
      <c r="J33" s="700" t="s">
        <v>309</v>
      </c>
      <c r="K33" s="701"/>
      <c r="L33" s="701"/>
      <c r="M33" s="701"/>
      <c r="N33" s="702"/>
    </row>
    <row r="34" spans="2:14" ht="36" customHeight="1" thickBot="1">
      <c r="B34" s="733"/>
      <c r="C34" s="734"/>
      <c r="D34" s="738"/>
      <c r="E34" s="739"/>
      <c r="F34" s="740"/>
      <c r="G34" s="141"/>
      <c r="H34" s="743" t="s">
        <v>316</v>
      </c>
      <c r="I34" s="744"/>
      <c r="J34" s="703"/>
      <c r="K34" s="704"/>
      <c r="L34" s="704"/>
      <c r="M34" s="704"/>
      <c r="N34" s="705"/>
    </row>
    <row r="35" spans="2:14" ht="36" customHeight="1" thickBot="1">
      <c r="B35" s="213"/>
      <c r="G35" s="141"/>
      <c r="H35" s="657" t="s">
        <v>68</v>
      </c>
      <c r="I35" s="658"/>
      <c r="J35" s="697" t="s">
        <v>315</v>
      </c>
      <c r="K35" s="698"/>
      <c r="L35" s="698"/>
      <c r="M35" s="698"/>
      <c r="N35" s="699"/>
    </row>
    <row r="36" spans="2:14" ht="14.25" customHeight="1" thickBot="1">
      <c r="B36" s="58" t="s">
        <v>69</v>
      </c>
      <c r="C36" s="52"/>
      <c r="D36" s="55"/>
      <c r="E36" s="59"/>
      <c r="F36" s="55"/>
      <c r="G36" s="55"/>
      <c r="H36" s="55"/>
      <c r="I36" s="52"/>
      <c r="J36" s="52"/>
      <c r="K36" s="52"/>
      <c r="L36" s="718"/>
      <c r="M36" s="719"/>
      <c r="N36" s="720"/>
    </row>
    <row r="37" spans="2:14" ht="18" customHeight="1" thickBot="1">
      <c r="B37" s="154" t="s">
        <v>70</v>
      </c>
      <c r="C37" s="721" t="s">
        <v>92</v>
      </c>
      <c r="D37" s="722"/>
      <c r="E37" s="722" t="s">
        <v>93</v>
      </c>
      <c r="F37" s="722"/>
      <c r="G37" s="722" t="s">
        <v>94</v>
      </c>
      <c r="H37" s="722"/>
      <c r="I37" s="723"/>
      <c r="J37" s="724"/>
      <c r="K37" s="725"/>
      <c r="L37" s="725"/>
      <c r="M37" s="725"/>
      <c r="N37" s="726"/>
    </row>
    <row r="38" spans="2:14" ht="18" customHeight="1">
      <c r="B38" s="170" t="s">
        <v>71</v>
      </c>
      <c r="C38" s="688" t="s">
        <v>268</v>
      </c>
      <c r="D38" s="716"/>
      <c r="E38" s="717" t="s">
        <v>261</v>
      </c>
      <c r="F38" s="717"/>
      <c r="G38" s="717" t="s">
        <v>274</v>
      </c>
      <c r="H38" s="717"/>
      <c r="I38" s="691"/>
      <c r="J38" s="691"/>
      <c r="K38" s="691"/>
      <c r="L38" s="691"/>
      <c r="M38" s="691"/>
      <c r="N38" s="712"/>
    </row>
    <row r="39" spans="2:14" ht="18" customHeight="1">
      <c r="B39" s="171" t="s">
        <v>72</v>
      </c>
      <c r="C39" s="688" t="s">
        <v>257</v>
      </c>
      <c r="D39" s="689"/>
      <c r="E39" s="690" t="s">
        <v>256</v>
      </c>
      <c r="F39" s="690"/>
      <c r="G39" s="688" t="s">
        <v>258</v>
      </c>
      <c r="H39" s="689"/>
      <c r="I39" s="691"/>
      <c r="J39" s="691"/>
      <c r="K39" s="691"/>
      <c r="L39" s="691"/>
      <c r="M39" s="691"/>
      <c r="N39" s="712"/>
    </row>
    <row r="40" spans="2:14" ht="18" customHeight="1" thickBot="1">
      <c r="B40" s="172" t="s">
        <v>72</v>
      </c>
      <c r="C40" s="693" t="s">
        <v>255</v>
      </c>
      <c r="D40" s="694"/>
      <c r="E40" s="713" t="s">
        <v>277</v>
      </c>
      <c r="F40" s="713"/>
      <c r="G40" s="713" t="s">
        <v>295</v>
      </c>
      <c r="H40" s="713"/>
      <c r="I40" s="714"/>
      <c r="J40" s="714"/>
      <c r="K40" s="714"/>
      <c r="L40" s="714"/>
      <c r="M40" s="714"/>
      <c r="N40" s="715"/>
    </row>
    <row r="41" spans="2:14" ht="18" customHeight="1">
      <c r="B41" s="214"/>
      <c r="C41" s="141"/>
      <c r="D41" s="141"/>
      <c r="E41" s="141"/>
      <c r="F41" s="141"/>
      <c r="G41" s="141"/>
      <c r="H41" s="141"/>
      <c r="I41" s="141"/>
      <c r="J41" s="141"/>
      <c r="K41" s="141"/>
      <c r="L41" s="141"/>
      <c r="M41" s="141"/>
      <c r="N41" s="246"/>
    </row>
    <row r="42" spans="2:14" ht="5.25" customHeight="1" thickBot="1">
      <c r="B42" s="51"/>
      <c r="C42" s="52"/>
      <c r="D42" s="52"/>
      <c r="E42" s="52"/>
      <c r="F42" s="52"/>
      <c r="G42" s="52"/>
      <c r="H42" s="52"/>
      <c r="I42" s="52"/>
      <c r="J42" s="52"/>
      <c r="K42" s="52"/>
      <c r="L42" s="52"/>
      <c r="M42" s="52"/>
      <c r="N42" s="54"/>
    </row>
    <row r="43" spans="2:14" ht="15.75" customHeight="1" thickBot="1">
      <c r="B43" s="163" t="s">
        <v>73</v>
      </c>
      <c r="C43" s="159" t="s">
        <v>74</v>
      </c>
      <c r="D43" s="160" t="s">
        <v>75</v>
      </c>
      <c r="E43" s="161" t="s">
        <v>76</v>
      </c>
      <c r="F43" s="52"/>
      <c r="G43" s="52"/>
      <c r="H43" s="52"/>
      <c r="I43" s="165" t="s">
        <v>77</v>
      </c>
      <c r="J43" s="166"/>
      <c r="K43" s="706" t="s">
        <v>282</v>
      </c>
      <c r="L43" s="706"/>
      <c r="M43" s="706"/>
      <c r="N43" s="707"/>
    </row>
    <row r="44" spans="2:14" ht="18" customHeight="1">
      <c r="B44" s="158" t="s">
        <v>78</v>
      </c>
      <c r="C44" s="157" t="s">
        <v>297</v>
      </c>
      <c r="D44" s="155" t="s">
        <v>296</v>
      </c>
      <c r="E44" s="162" t="s">
        <v>281</v>
      </c>
      <c r="F44" s="229" t="s">
        <v>275</v>
      </c>
      <c r="G44" s="52"/>
      <c r="H44" s="52"/>
      <c r="I44" s="167" t="s">
        <v>79</v>
      </c>
      <c r="J44" s="146"/>
      <c r="K44" s="708" t="s">
        <v>283</v>
      </c>
      <c r="L44" s="708"/>
      <c r="M44" s="708"/>
      <c r="N44" s="709"/>
    </row>
    <row r="45" spans="2:14" ht="18" customHeight="1" thickBot="1">
      <c r="B45" s="164" t="s">
        <v>80</v>
      </c>
      <c r="C45" s="215" t="s">
        <v>298</v>
      </c>
      <c r="D45" s="216" t="s">
        <v>299</v>
      </c>
      <c r="E45" s="217" t="s">
        <v>298</v>
      </c>
      <c r="F45" s="229" t="s">
        <v>275</v>
      </c>
      <c r="G45" s="52"/>
      <c r="H45" s="52"/>
      <c r="I45" s="168" t="s">
        <v>81</v>
      </c>
      <c r="J45" s="169"/>
      <c r="K45" s="710" t="s">
        <v>284</v>
      </c>
      <c r="L45" s="710"/>
      <c r="M45" s="710"/>
      <c r="N45" s="711"/>
    </row>
    <row r="46" spans="2:14" ht="7.5" customHeight="1" thickBot="1">
      <c r="B46" s="51"/>
      <c r="C46" s="52"/>
      <c r="D46" s="52"/>
      <c r="E46" s="52"/>
      <c r="F46" s="52"/>
      <c r="G46" s="52"/>
      <c r="H46" s="52"/>
      <c r="I46" s="52"/>
      <c r="J46" s="52"/>
      <c r="K46" s="52"/>
      <c r="L46" s="52"/>
      <c r="M46" s="52"/>
      <c r="N46" s="54"/>
    </row>
    <row r="47" spans="2:14" ht="15" customHeight="1">
      <c r="B47" s="675" t="s">
        <v>82</v>
      </c>
      <c r="C47" s="676"/>
      <c r="D47" s="676"/>
      <c r="E47" s="676"/>
      <c r="F47" s="676"/>
      <c r="G47" s="677"/>
      <c r="H47" s="55"/>
      <c r="I47" s="200" t="s">
        <v>134</v>
      </c>
      <c r="J47" s="201"/>
      <c r="K47" s="201"/>
      <c r="L47" s="201"/>
      <c r="M47" s="201"/>
      <c r="N47" s="202"/>
    </row>
    <row r="48" spans="2:14" ht="18" customHeight="1">
      <c r="B48" s="57" t="s">
        <v>83</v>
      </c>
      <c r="C48" s="60" t="s">
        <v>84</v>
      </c>
      <c r="D48" s="60" t="s">
        <v>83</v>
      </c>
      <c r="E48" s="60" t="s">
        <v>84</v>
      </c>
      <c r="F48" s="60" t="s">
        <v>83</v>
      </c>
      <c r="G48" s="199" t="s">
        <v>84</v>
      </c>
      <c r="H48" s="52"/>
      <c r="I48" s="203"/>
      <c r="J48" s="203"/>
      <c r="K48" s="203"/>
      <c r="L48" s="203"/>
      <c r="M48" s="203"/>
      <c r="N48" s="204"/>
    </row>
    <row r="49" spans="2:14" ht="18" customHeight="1">
      <c r="B49" s="678" t="s">
        <v>85</v>
      </c>
      <c r="C49" s="679"/>
      <c r="D49" s="679"/>
      <c r="E49" s="679"/>
      <c r="F49" s="679"/>
      <c r="G49" s="680"/>
      <c r="H49" s="198"/>
      <c r="I49" s="205"/>
      <c r="J49" s="203"/>
      <c r="K49" s="203"/>
      <c r="L49" s="203"/>
      <c r="M49" s="203"/>
      <c r="N49" s="204"/>
    </row>
    <row r="50" spans="2:14" ht="18" customHeight="1">
      <c r="B50" s="681"/>
      <c r="C50" s="682"/>
      <c r="D50" s="682"/>
      <c r="E50" s="682"/>
      <c r="F50" s="682"/>
      <c r="G50" s="683"/>
      <c r="H50" s="198"/>
      <c r="I50" s="205"/>
      <c r="J50" s="203"/>
      <c r="K50" s="203"/>
      <c r="L50" s="203"/>
      <c r="M50" s="203"/>
      <c r="N50" s="204"/>
    </row>
    <row r="51" spans="2:14" ht="18" customHeight="1" thickBot="1">
      <c r="B51" s="684"/>
      <c r="C51" s="685"/>
      <c r="D51" s="685"/>
      <c r="E51" s="685"/>
      <c r="F51" s="685"/>
      <c r="G51" s="686"/>
      <c r="H51" s="198"/>
      <c r="I51" s="205"/>
      <c r="J51" s="203"/>
      <c r="K51" s="203"/>
      <c r="L51" s="203"/>
      <c r="M51" s="203"/>
      <c r="N51" s="204"/>
    </row>
    <row r="52" spans="2:14" ht="18" customHeight="1">
      <c r="B52" s="51"/>
      <c r="C52" s="52"/>
      <c r="D52" s="52"/>
      <c r="E52" s="52"/>
      <c r="F52" s="52"/>
      <c r="G52" s="52"/>
      <c r="H52" s="52"/>
      <c r="I52" s="52"/>
      <c r="J52" s="52"/>
      <c r="K52" s="52"/>
      <c r="L52" s="52"/>
      <c r="M52" s="52"/>
      <c r="N52" s="54"/>
    </row>
    <row r="53" spans="2:14" ht="18" customHeight="1">
      <c r="B53" s="51" t="s">
        <v>259</v>
      </c>
      <c r="C53" s="52"/>
      <c r="D53" s="52"/>
      <c r="E53" s="141"/>
      <c r="F53" s="52"/>
      <c r="G53" s="687"/>
      <c r="H53" s="687"/>
      <c r="I53" s="687"/>
      <c r="J53" s="687"/>
      <c r="K53" s="52"/>
      <c r="L53" s="687"/>
      <c r="M53" s="687"/>
      <c r="N53" s="692"/>
    </row>
    <row r="54" spans="2:14" ht="18" customHeight="1">
      <c r="B54" s="51"/>
      <c r="C54" s="52"/>
      <c r="D54" s="52"/>
      <c r="E54" s="52"/>
      <c r="F54" s="52"/>
      <c r="G54" s="231" t="s">
        <v>86</v>
      </c>
      <c r="H54" s="142"/>
      <c r="I54" s="142"/>
      <c r="J54" s="142"/>
      <c r="K54" s="52"/>
      <c r="L54" s="695" t="s">
        <v>87</v>
      </c>
      <c r="M54" s="695"/>
      <c r="N54" s="696"/>
    </row>
    <row r="55" spans="2:14" ht="18" customHeight="1">
      <c r="B55" s="58" t="s">
        <v>88</v>
      </c>
      <c r="C55" s="52"/>
      <c r="D55" s="52"/>
      <c r="E55" s="52"/>
      <c r="F55" s="52"/>
      <c r="G55" s="52"/>
      <c r="H55" s="52"/>
      <c r="I55" s="52"/>
      <c r="J55" s="52"/>
      <c r="K55" s="52"/>
      <c r="L55" s="52"/>
      <c r="M55" s="52"/>
      <c r="N55" s="54"/>
    </row>
    <row r="56" spans="2:14" ht="3.75" customHeight="1" thickBot="1">
      <c r="B56" s="61"/>
      <c r="C56" s="62"/>
      <c r="D56" s="62"/>
      <c r="E56" s="62"/>
      <c r="F56" s="62"/>
      <c r="G56" s="62"/>
      <c r="H56" s="62"/>
      <c r="I56" s="62"/>
      <c r="J56" s="62"/>
      <c r="K56" s="62"/>
      <c r="L56" s="62"/>
      <c r="M56" s="62"/>
      <c r="N56" s="63"/>
    </row>
    <row r="57" spans="2:14" ht="9" customHeight="1"/>
    <row r="58" spans="2:14" ht="18" hidden="1" customHeight="1"/>
    <row r="59" spans="2:14" ht="18" hidden="1" customHeight="1"/>
    <row r="60" spans="2:14" ht="18" hidden="1" customHeight="1"/>
    <row r="61" spans="2:14" ht="18" hidden="1" customHeight="1"/>
    <row r="62" spans="2:14" ht="18" hidden="1" customHeight="1"/>
    <row r="63" spans="2:14" ht="18" hidden="1" customHeight="1"/>
    <row r="64" spans="2:14" ht="18" hidden="1" customHeight="1"/>
    <row r="65" ht="18" hidden="1" customHeight="1"/>
    <row r="66" ht="18" hidden="1" customHeight="1"/>
    <row r="67" ht="18" hidden="1" customHeight="1"/>
    <row r="68" ht="18" hidden="1" customHeight="1"/>
    <row r="69" ht="18" hidden="1" customHeight="1"/>
    <row r="70" ht="18" hidden="1" customHeight="1"/>
    <row r="71" ht="18" hidden="1" customHeight="1"/>
    <row r="72" ht="18" hidden="1" customHeight="1"/>
    <row r="73" ht="18" hidden="1" customHeight="1"/>
    <row r="74" ht="18" hidden="1" customHeight="1"/>
    <row r="75" ht="18" hidden="1" customHeight="1"/>
    <row r="76" ht="18" hidden="1" customHeight="1"/>
    <row r="77" ht="18" hidden="1" customHeight="1"/>
    <row r="78" ht="18" hidden="1" customHeight="1"/>
    <row r="79" ht="18" hidden="1" customHeight="1"/>
    <row r="80" ht="18" hidden="1" customHeight="1"/>
    <row r="81" ht="18" hidden="1" customHeight="1"/>
    <row r="82" ht="18" hidden="1" customHeight="1"/>
    <row r="83" ht="18" hidden="1" customHeight="1"/>
    <row r="84" ht="18" hidden="1" customHeight="1"/>
    <row r="85" ht="18" hidden="1" customHeight="1"/>
    <row r="86" ht="18" hidden="1" customHeight="1"/>
    <row r="87" ht="18" hidden="1" customHeight="1"/>
    <row r="88" ht="18" hidden="1" customHeight="1"/>
    <row r="89" ht="18" hidden="1" customHeight="1"/>
    <row r="90" ht="18" hidden="1" customHeight="1"/>
    <row r="91" ht="18" hidden="1" customHeight="1"/>
    <row r="92" ht="18" hidden="1" customHeight="1"/>
    <row r="93" ht="18" hidden="1" customHeight="1"/>
    <row r="94" ht="18" hidden="1" customHeight="1"/>
    <row r="95" ht="18" hidden="1" customHeight="1"/>
    <row r="96" ht="18" hidden="1" customHeight="1"/>
    <row r="97" ht="18" hidden="1" customHeight="1"/>
    <row r="98" ht="18" hidden="1" customHeight="1"/>
    <row r="99" ht="18" hidden="1" customHeight="1"/>
    <row r="100" ht="18" hidden="1" customHeight="1"/>
    <row r="101" ht="18" hidden="1" customHeight="1"/>
    <row r="102" ht="18" hidden="1" customHeight="1"/>
    <row r="103" ht="18" hidden="1" customHeight="1"/>
    <row r="104" ht="18" hidden="1" customHeight="1"/>
    <row r="105" ht="18" hidden="1" customHeight="1"/>
    <row r="106" ht="18" hidden="1" customHeight="1"/>
    <row r="107" ht="18" hidden="1" customHeight="1"/>
    <row r="108" ht="18" hidden="1" customHeight="1"/>
    <row r="109" ht="18" hidden="1" customHeight="1"/>
    <row r="110" ht="18" hidden="1" customHeight="1"/>
    <row r="111" ht="18" hidden="1" customHeight="1"/>
    <row r="112" ht="18" hidden="1" customHeight="1"/>
    <row r="113" ht="18" hidden="1" customHeight="1"/>
    <row r="114" ht="18" hidden="1" customHeight="1"/>
    <row r="115" ht="18" hidden="1" customHeight="1"/>
    <row r="116" ht="18" hidden="1" customHeight="1"/>
    <row r="117" ht="18" hidden="1" customHeight="1"/>
    <row r="118" ht="18" hidden="1" customHeight="1"/>
    <row r="119" ht="18" hidden="1" customHeight="1"/>
    <row r="120" ht="18" hidden="1" customHeight="1"/>
    <row r="121" ht="18" hidden="1" customHeight="1"/>
    <row r="122" ht="18" hidden="1" customHeight="1"/>
    <row r="123" ht="18" hidden="1" customHeight="1"/>
    <row r="124" ht="18" hidden="1" customHeight="1"/>
    <row r="125" ht="18" hidden="1" customHeight="1"/>
    <row r="126" ht="18" hidden="1" customHeight="1"/>
    <row r="127" ht="18" hidden="1" customHeight="1"/>
    <row r="128" ht="18" hidden="1" customHeight="1"/>
    <row r="129" ht="18" hidden="1" customHeight="1"/>
    <row r="130" ht="18" hidden="1" customHeight="1"/>
    <row r="131" ht="18" hidden="1" customHeight="1"/>
    <row r="132" ht="18" hidden="1" customHeight="1"/>
    <row r="133" ht="18" hidden="1" customHeight="1"/>
    <row r="134" ht="18" hidden="1" customHeight="1"/>
    <row r="135" ht="18" hidden="1" customHeight="1"/>
    <row r="136" ht="18" hidden="1" customHeight="1"/>
    <row r="137" ht="18" hidden="1" customHeight="1"/>
    <row r="138" ht="18" hidden="1" customHeight="1"/>
    <row r="139" ht="18" hidden="1" customHeight="1"/>
    <row r="140" ht="18" hidden="1" customHeight="1"/>
    <row r="141" ht="18" hidden="1" customHeight="1"/>
    <row r="142" ht="18" hidden="1" customHeight="1"/>
    <row r="143" ht="18" hidden="1" customHeight="1"/>
    <row r="144" ht="18" hidden="1" customHeight="1"/>
    <row r="145" ht="18" hidden="1" customHeight="1"/>
    <row r="146" ht="18" hidden="1" customHeight="1"/>
    <row r="147" ht="18" hidden="1" customHeight="1"/>
    <row r="148" ht="18" hidden="1" customHeight="1"/>
    <row r="149" ht="18" hidden="1" customHeight="1"/>
    <row r="150" ht="18" hidden="1" customHeight="1"/>
    <row r="151" ht="18" hidden="1" customHeight="1"/>
    <row r="152" ht="18" hidden="1" customHeight="1"/>
    <row r="153" ht="18" hidden="1" customHeight="1"/>
    <row r="154" ht="18" hidden="1" customHeight="1"/>
    <row r="155" ht="18" hidden="1" customHeight="1"/>
    <row r="156" ht="18" hidden="1" customHeight="1"/>
    <row r="157" ht="18" hidden="1" customHeight="1"/>
    <row r="158" ht="18" hidden="1" customHeight="1"/>
    <row r="159" ht="18" hidden="1" customHeight="1"/>
    <row r="160" ht="18" hidden="1" customHeight="1"/>
    <row r="161" ht="18" hidden="1" customHeight="1"/>
    <row r="162" ht="18" hidden="1" customHeight="1"/>
    <row r="163" ht="18" hidden="1" customHeight="1"/>
    <row r="164" ht="18" hidden="1" customHeight="1"/>
    <row r="165" ht="18" hidden="1" customHeight="1"/>
    <row r="166" ht="18" hidden="1" customHeight="1"/>
    <row r="167" ht="18" hidden="1" customHeight="1"/>
    <row r="168" ht="18" hidden="1" customHeight="1"/>
    <row r="169" ht="18" hidden="1" customHeight="1"/>
    <row r="170" ht="18" hidden="1" customHeight="1"/>
    <row r="171" ht="18" hidden="1" customHeight="1"/>
    <row r="172" ht="18" hidden="1" customHeight="1"/>
    <row r="173" ht="18" hidden="1" customHeight="1"/>
    <row r="174" ht="18" hidden="1" customHeight="1"/>
    <row r="175" ht="18" hidden="1" customHeight="1"/>
    <row r="176" ht="18" hidden="1" customHeight="1"/>
    <row r="177" ht="18" hidden="1" customHeight="1"/>
    <row r="178" ht="18" hidden="1" customHeight="1"/>
    <row r="179" ht="18" hidden="1" customHeight="1"/>
    <row r="180" ht="18" hidden="1" customHeight="1"/>
    <row r="181" ht="18" hidden="1" customHeight="1"/>
    <row r="182" ht="18" hidden="1" customHeight="1"/>
    <row r="183" ht="18" hidden="1" customHeight="1"/>
    <row r="184" ht="18" hidden="1" customHeight="1"/>
    <row r="185" ht="18" hidden="1" customHeight="1"/>
    <row r="186" ht="18" hidden="1" customHeight="1"/>
    <row r="187" ht="18" hidden="1" customHeight="1"/>
    <row r="188" ht="18" hidden="1" customHeight="1"/>
    <row r="189" ht="18" hidden="1" customHeight="1"/>
    <row r="190" ht="18" hidden="1" customHeight="1"/>
    <row r="191" ht="18" hidden="1" customHeight="1"/>
    <row r="192" ht="18" hidden="1" customHeight="1"/>
    <row r="193" ht="18" hidden="1" customHeight="1"/>
    <row r="194" ht="18" hidden="1" customHeight="1"/>
    <row r="195" ht="18" hidden="1" customHeight="1"/>
    <row r="196" ht="18" hidden="1" customHeight="1"/>
    <row r="197" ht="18" hidden="1" customHeight="1"/>
    <row r="198" ht="18" hidden="1" customHeight="1"/>
    <row r="199" ht="18" hidden="1" customHeight="1"/>
    <row r="200" ht="12.75" customHeight="1"/>
  </sheetData>
  <mergeCells count="85">
    <mergeCell ref="E2:K3"/>
    <mergeCell ref="C5:E5"/>
    <mergeCell ref="G5:J5"/>
    <mergeCell ref="M5:N5"/>
    <mergeCell ref="C7:E7"/>
    <mergeCell ref="G7:J7"/>
    <mergeCell ref="M7:N7"/>
    <mergeCell ref="B9:G9"/>
    <mergeCell ref="I9:N9"/>
    <mergeCell ref="B12:C14"/>
    <mergeCell ref="I12:J14"/>
    <mergeCell ref="B15:C17"/>
    <mergeCell ref="I15:J17"/>
    <mergeCell ref="E10:G10"/>
    <mergeCell ref="L10:N10"/>
    <mergeCell ref="E18:G18"/>
    <mergeCell ref="L18:N18"/>
    <mergeCell ref="E19:G19"/>
    <mergeCell ref="L19:N19"/>
    <mergeCell ref="E20:G20"/>
    <mergeCell ref="L20:N20"/>
    <mergeCell ref="E21:G21"/>
    <mergeCell ref="L21:N21"/>
    <mergeCell ref="E22:G22"/>
    <mergeCell ref="L22:N22"/>
    <mergeCell ref="E23:G23"/>
    <mergeCell ref="L23:N23"/>
    <mergeCell ref="L24:N24"/>
    <mergeCell ref="L25:N25"/>
    <mergeCell ref="C26:F26"/>
    <mergeCell ref="L26:N26"/>
    <mergeCell ref="C27:D27"/>
    <mergeCell ref="E27:F27"/>
    <mergeCell ref="L27:N27"/>
    <mergeCell ref="C28:F30"/>
    <mergeCell ref="L30:N30"/>
    <mergeCell ref="L31:N31"/>
    <mergeCell ref="L32:N32"/>
    <mergeCell ref="B33:C34"/>
    <mergeCell ref="D33:F34"/>
    <mergeCell ref="H33:I33"/>
    <mergeCell ref="J33:N33"/>
    <mergeCell ref="H34:I34"/>
    <mergeCell ref="J34:N34"/>
    <mergeCell ref="M38:N38"/>
    <mergeCell ref="H35:I35"/>
    <mergeCell ref="J35:N35"/>
    <mergeCell ref="L36:N36"/>
    <mergeCell ref="C37:D37"/>
    <mergeCell ref="E37:F37"/>
    <mergeCell ref="G37:H37"/>
    <mergeCell ref="I37:J37"/>
    <mergeCell ref="K37:L37"/>
    <mergeCell ref="M37:N37"/>
    <mergeCell ref="C38:D38"/>
    <mergeCell ref="E38:F38"/>
    <mergeCell ref="G38:H38"/>
    <mergeCell ref="I38:J38"/>
    <mergeCell ref="K38:L38"/>
    <mergeCell ref="G40:H40"/>
    <mergeCell ref="I40:J40"/>
    <mergeCell ref="K40:L40"/>
    <mergeCell ref="M40:N40"/>
    <mergeCell ref="C39:D39"/>
    <mergeCell ref="E39:F39"/>
    <mergeCell ref="G39:H39"/>
    <mergeCell ref="I39:J39"/>
    <mergeCell ref="K39:L39"/>
    <mergeCell ref="M39:N39"/>
    <mergeCell ref="L54:N54"/>
    <mergeCell ref="L14:N14"/>
    <mergeCell ref="L13:N13"/>
    <mergeCell ref="L12:N12"/>
    <mergeCell ref="E14:G14"/>
    <mergeCell ref="E13:G13"/>
    <mergeCell ref="E12:G12"/>
    <mergeCell ref="K43:N43"/>
    <mergeCell ref="K44:N44"/>
    <mergeCell ref="K45:N45"/>
    <mergeCell ref="B47:G47"/>
    <mergeCell ref="B49:G51"/>
    <mergeCell ref="G53:J53"/>
    <mergeCell ref="L53:N53"/>
    <mergeCell ref="C40:D40"/>
    <mergeCell ref="E40:F40"/>
  </mergeCells>
  <dataValidations count="1">
    <dataValidation type="list" allowBlank="1" showInputMessage="1" showErrorMessage="1" sqref="E53" xr:uid="{00000000-0002-0000-1000-000000000000}">
      <formula1>"YES, NO"</formula1>
    </dataValidation>
  </dataValidations>
  <printOptions horizontalCentered="1"/>
  <pageMargins left="3.937007874015748E-2" right="3.937007874015748E-2" top="0.39370078740157483" bottom="0.39370078740157483" header="0.23622047244094491" footer="0.23622047244094491"/>
  <pageSetup paperSize="9" scale="74" fitToHeight="0" orientation="portrait"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7">
    <tabColor rgb="FF00B050"/>
    <pageSetUpPr fitToPage="1"/>
  </sheetPr>
  <dimension ref="B1:T200"/>
  <sheetViews>
    <sheetView workbookViewId="0"/>
  </sheetViews>
  <sheetFormatPr baseColWidth="10" defaultColWidth="0" defaultRowHeight="0" customHeight="1" zeroHeight="1"/>
  <cols>
    <col min="1" max="1" width="1.28515625" style="40" customWidth="1"/>
    <col min="2" max="4" width="9" style="40" customWidth="1"/>
    <col min="5" max="7" width="12.7109375" style="40" customWidth="1"/>
    <col min="8" max="8" width="7.85546875" style="40" customWidth="1"/>
    <col min="9" max="9" width="9" style="40" customWidth="1"/>
    <col min="10" max="10" width="11.28515625" style="40" customWidth="1"/>
    <col min="11" max="11" width="10.85546875" style="40" customWidth="1"/>
    <col min="12" max="14" width="12.7109375" style="40" customWidth="1"/>
    <col min="15" max="15" width="1.5703125" style="40" customWidth="1"/>
    <col min="16" max="16" width="8.5703125" style="40" hidden="1" customWidth="1"/>
    <col min="17" max="18" width="0" style="40" hidden="1" customWidth="1"/>
    <col min="19" max="19" width="8.28515625" style="40" hidden="1" customWidth="1"/>
    <col min="20" max="20" width="9.7109375" style="40" hidden="1" customWidth="1"/>
    <col min="21" max="16384" width="0" style="40" hidden="1"/>
  </cols>
  <sheetData>
    <row r="1" spans="2:17" ht="9" customHeight="1" thickBot="1"/>
    <row r="2" spans="2:17" ht="19.5" customHeight="1">
      <c r="B2" s="41"/>
      <c r="C2" s="42"/>
      <c r="D2" s="42"/>
      <c r="E2" s="851" t="s">
        <v>31</v>
      </c>
      <c r="F2" s="852"/>
      <c r="G2" s="852"/>
      <c r="H2" s="852"/>
      <c r="I2" s="852"/>
      <c r="J2" s="852"/>
      <c r="K2" s="853"/>
      <c r="L2" s="209" t="s">
        <v>32</v>
      </c>
      <c r="M2" s="210" t="s">
        <v>2</v>
      </c>
      <c r="N2" s="45"/>
    </row>
    <row r="3" spans="2:17" ht="20.25" customHeight="1" thickBot="1">
      <c r="B3" s="46"/>
      <c r="C3" s="47"/>
      <c r="D3" s="47"/>
      <c r="E3" s="854"/>
      <c r="F3" s="854"/>
      <c r="G3" s="854"/>
      <c r="H3" s="854"/>
      <c r="I3" s="854"/>
      <c r="J3" s="854"/>
      <c r="K3" s="855"/>
      <c r="L3" s="211" t="s">
        <v>33</v>
      </c>
      <c r="M3" s="212">
        <v>42917</v>
      </c>
      <c r="N3" s="50"/>
    </row>
    <row r="4" spans="2:17" ht="18.75">
      <c r="B4" s="51"/>
      <c r="C4" s="52"/>
      <c r="D4" s="52"/>
      <c r="E4" s="52"/>
      <c r="F4" s="53"/>
      <c r="G4" s="53"/>
      <c r="H4" s="53"/>
      <c r="I4" s="53"/>
      <c r="J4" s="53"/>
      <c r="K4" s="53"/>
      <c r="L4" s="53"/>
      <c r="M4" s="53"/>
      <c r="N4" s="54"/>
    </row>
    <row r="5" spans="2:17" ht="18" customHeight="1">
      <c r="B5" s="51" t="s">
        <v>34</v>
      </c>
      <c r="C5" s="767" t="s">
        <v>6</v>
      </c>
      <c r="D5" s="767"/>
      <c r="E5" s="767"/>
      <c r="F5" s="52" t="s">
        <v>35</v>
      </c>
      <c r="G5" s="767">
        <f>'Data Entry'!B13</f>
        <v>0</v>
      </c>
      <c r="H5" s="767"/>
      <c r="I5" s="767"/>
      <c r="J5" s="767"/>
      <c r="K5" s="52"/>
      <c r="L5" s="52" t="s">
        <v>36</v>
      </c>
      <c r="M5" s="771">
        <f>'Data Entry'!B11</f>
        <v>0</v>
      </c>
      <c r="N5" s="772"/>
    </row>
    <row r="6" spans="2:17" ht="18" customHeight="1">
      <c r="B6" s="51"/>
      <c r="C6" s="52"/>
      <c r="D6" s="52"/>
      <c r="E6" s="52"/>
      <c r="F6" s="52"/>
      <c r="G6" s="52"/>
      <c r="H6" s="52"/>
      <c r="I6" s="52"/>
      <c r="J6" s="52"/>
      <c r="K6" s="52"/>
      <c r="L6" s="52"/>
      <c r="M6" s="52"/>
      <c r="N6" s="54"/>
    </row>
    <row r="7" spans="2:17" ht="18" customHeight="1">
      <c r="B7" s="51" t="s">
        <v>37</v>
      </c>
      <c r="C7" s="773" t="s">
        <v>317</v>
      </c>
      <c r="D7" s="773"/>
      <c r="E7" s="773"/>
      <c r="F7" s="52" t="s">
        <v>38</v>
      </c>
      <c r="G7" s="774">
        <f>'Data Entry'!B23</f>
        <v>0</v>
      </c>
      <c r="H7" s="774"/>
      <c r="I7" s="774"/>
      <c r="J7" s="774"/>
      <c r="K7" s="52"/>
      <c r="L7" s="52" t="s">
        <v>39</v>
      </c>
      <c r="M7" s="856">
        <v>43411</v>
      </c>
      <c r="N7" s="857"/>
    </row>
    <row r="8" spans="2:17" ht="4.1500000000000004" customHeight="1">
      <c r="B8" s="51"/>
      <c r="C8" s="55"/>
      <c r="D8" s="55"/>
      <c r="E8" s="55"/>
      <c r="F8" s="52"/>
      <c r="G8" s="52"/>
      <c r="H8" s="52"/>
      <c r="I8" s="55"/>
      <c r="J8" s="55"/>
      <c r="K8" s="55"/>
      <c r="L8" s="52"/>
      <c r="M8" s="52"/>
      <c r="N8" s="54"/>
    </row>
    <row r="9" spans="2:17" ht="18" customHeight="1">
      <c r="B9" s="768" t="s">
        <v>40</v>
      </c>
      <c r="C9" s="769"/>
      <c r="D9" s="769"/>
      <c r="E9" s="769"/>
      <c r="F9" s="769"/>
      <c r="G9" s="769"/>
      <c r="H9" s="55"/>
      <c r="I9" s="769" t="s">
        <v>301</v>
      </c>
      <c r="J9" s="769"/>
      <c r="K9" s="769"/>
      <c r="L9" s="769"/>
      <c r="M9" s="769"/>
      <c r="N9" s="770"/>
      <c r="Q9" s="56"/>
    </row>
    <row r="10" spans="2:17" ht="18" customHeight="1">
      <c r="B10" s="51" t="s">
        <v>42</v>
      </c>
      <c r="C10" s="52"/>
      <c r="D10" s="52"/>
      <c r="E10" s="668" t="s">
        <v>300</v>
      </c>
      <c r="F10" s="668"/>
      <c r="G10" s="668"/>
      <c r="H10" s="52"/>
      <c r="I10" s="52" t="s">
        <v>43</v>
      </c>
      <c r="J10" s="52"/>
      <c r="K10" s="52"/>
      <c r="L10" s="668" t="s">
        <v>310</v>
      </c>
      <c r="M10" s="668"/>
      <c r="N10" s="781"/>
    </row>
    <row r="11" spans="2:17" ht="23.25" customHeight="1">
      <c r="B11" s="51"/>
      <c r="C11" s="52"/>
      <c r="D11" s="52"/>
      <c r="E11" s="242"/>
      <c r="F11" s="242" t="s">
        <v>311</v>
      </c>
      <c r="G11" s="242"/>
      <c r="H11" s="52"/>
      <c r="I11" s="52"/>
      <c r="J11" s="52"/>
      <c r="K11" s="52"/>
      <c r="L11" s="777" t="s">
        <v>311</v>
      </c>
      <c r="M11" s="777"/>
      <c r="N11" s="778"/>
    </row>
    <row r="12" spans="2:17" ht="26.25" customHeight="1">
      <c r="B12" s="670" t="s">
        <v>286</v>
      </c>
      <c r="C12" s="671"/>
      <c r="D12" s="52" t="s">
        <v>44</v>
      </c>
      <c r="E12" s="668" t="s">
        <v>338</v>
      </c>
      <c r="F12" s="668"/>
      <c r="G12" s="668"/>
      <c r="H12" s="52"/>
      <c r="I12" s="673" t="s">
        <v>288</v>
      </c>
      <c r="J12" s="674"/>
      <c r="K12" s="52" t="s">
        <v>44</v>
      </c>
      <c r="L12" s="668"/>
      <c r="M12" s="668"/>
      <c r="N12" s="781"/>
    </row>
    <row r="13" spans="2:17" ht="26.25" customHeight="1">
      <c r="B13" s="672"/>
      <c r="C13" s="671"/>
      <c r="D13" s="52" t="s">
        <v>45</v>
      </c>
      <c r="E13" s="779" t="s">
        <v>313</v>
      </c>
      <c r="F13" s="779"/>
      <c r="G13" s="779"/>
      <c r="H13" s="52"/>
      <c r="I13" s="673"/>
      <c r="J13" s="674"/>
      <c r="K13" s="52" t="s">
        <v>45</v>
      </c>
      <c r="L13" s="745"/>
      <c r="M13" s="745"/>
      <c r="N13" s="746"/>
    </row>
    <row r="14" spans="2:17" ht="26.25" customHeight="1" thickBot="1">
      <c r="B14" s="672"/>
      <c r="C14" s="671"/>
      <c r="D14" s="251" t="s">
        <v>46</v>
      </c>
      <c r="E14" s="845" t="s">
        <v>342</v>
      </c>
      <c r="F14" s="845"/>
      <c r="G14" s="845"/>
      <c r="H14" s="52"/>
      <c r="I14" s="673"/>
      <c r="J14" s="674"/>
      <c r="K14" s="251" t="s">
        <v>46</v>
      </c>
      <c r="L14" s="845"/>
      <c r="M14" s="845"/>
      <c r="N14" s="846"/>
    </row>
    <row r="15" spans="2:17" ht="26.25" hidden="1" customHeight="1" thickTop="1">
      <c r="B15" s="847" t="s">
        <v>287</v>
      </c>
      <c r="C15" s="848"/>
      <c r="D15" s="52" t="s">
        <v>44</v>
      </c>
      <c r="E15" s="230" t="s">
        <v>285</v>
      </c>
      <c r="F15" s="248" t="s">
        <v>290</v>
      </c>
      <c r="G15" s="230" t="s">
        <v>290</v>
      </c>
      <c r="H15" s="52"/>
      <c r="I15" s="849" t="s">
        <v>289</v>
      </c>
      <c r="J15" s="850"/>
      <c r="K15" s="52" t="s">
        <v>44</v>
      </c>
      <c r="L15" s="236"/>
      <c r="M15" s="243"/>
      <c r="N15" s="237"/>
    </row>
    <row r="16" spans="2:17" ht="26.25" hidden="1" customHeight="1">
      <c r="B16" s="672"/>
      <c r="C16" s="671"/>
      <c r="D16" s="52" t="s">
        <v>45</v>
      </c>
      <c r="E16" s="249" t="s">
        <v>293</v>
      </c>
      <c r="F16" s="250" t="s">
        <v>294</v>
      </c>
      <c r="G16" s="249" t="s">
        <v>292</v>
      </c>
      <c r="H16" s="52"/>
      <c r="I16" s="673"/>
      <c r="J16" s="674"/>
      <c r="K16" s="52" t="s">
        <v>45</v>
      </c>
      <c r="L16" s="240"/>
      <c r="M16" s="244"/>
      <c r="N16" s="241"/>
    </row>
    <row r="17" spans="2:14" ht="26.25" hidden="1" customHeight="1">
      <c r="B17" s="672"/>
      <c r="C17" s="671"/>
      <c r="D17" s="52" t="s">
        <v>46</v>
      </c>
      <c r="E17" s="238" t="s">
        <v>285</v>
      </c>
      <c r="F17" s="235" t="s">
        <v>290</v>
      </c>
      <c r="G17" s="238" t="s">
        <v>290</v>
      </c>
      <c r="H17" s="52"/>
      <c r="I17" s="673"/>
      <c r="J17" s="674"/>
      <c r="K17" s="52" t="s">
        <v>46</v>
      </c>
      <c r="L17" s="240"/>
      <c r="M17" s="244"/>
      <c r="N17" s="241"/>
    </row>
    <row r="18" spans="2:14" ht="18" customHeight="1" thickTop="1">
      <c r="B18" s="51" t="s">
        <v>47</v>
      </c>
      <c r="C18" s="52"/>
      <c r="D18" s="52"/>
      <c r="E18" s="668"/>
      <c r="F18" s="669"/>
      <c r="G18" s="669"/>
      <c r="H18" s="52"/>
      <c r="I18" s="52" t="s">
        <v>48</v>
      </c>
      <c r="J18" s="52"/>
      <c r="K18" s="52"/>
      <c r="L18" s="745"/>
      <c r="M18" s="745"/>
      <c r="N18" s="746"/>
    </row>
    <row r="19" spans="2:14" ht="18" customHeight="1">
      <c r="B19" s="51" t="s">
        <v>49</v>
      </c>
      <c r="C19" s="52"/>
      <c r="D19" s="52"/>
      <c r="E19" s="668" t="s">
        <v>249</v>
      </c>
      <c r="F19" s="669"/>
      <c r="G19" s="669"/>
      <c r="H19" s="52"/>
      <c r="I19" s="52" t="s">
        <v>49</v>
      </c>
      <c r="J19" s="52"/>
      <c r="K19" s="52"/>
      <c r="L19" s="668"/>
      <c r="M19" s="669"/>
      <c r="N19" s="727"/>
    </row>
    <row r="20" spans="2:14" ht="18" customHeight="1">
      <c r="B20" s="51" t="s">
        <v>50</v>
      </c>
      <c r="C20" s="52"/>
      <c r="D20" s="52"/>
      <c r="E20" s="668" t="s">
        <v>249</v>
      </c>
      <c r="F20" s="669"/>
      <c r="G20" s="669"/>
      <c r="H20" s="52"/>
      <c r="I20" s="52" t="s">
        <v>50</v>
      </c>
      <c r="J20" s="52"/>
      <c r="K20" s="52"/>
      <c r="L20" s="668"/>
      <c r="M20" s="669"/>
      <c r="N20" s="727"/>
    </row>
    <row r="21" spans="2:14" ht="18" customHeight="1">
      <c r="B21" s="51" t="s">
        <v>51</v>
      </c>
      <c r="C21" s="52"/>
      <c r="D21" s="52"/>
      <c r="E21" s="668" t="s">
        <v>52</v>
      </c>
      <c r="F21" s="669"/>
      <c r="G21" s="669"/>
      <c r="H21" s="52"/>
      <c r="I21" s="52" t="s">
        <v>200</v>
      </c>
      <c r="J21" s="52"/>
      <c r="K21" s="52"/>
      <c r="L21" s="668"/>
      <c r="M21" s="669"/>
      <c r="N21" s="727"/>
    </row>
    <row r="22" spans="2:14" ht="18" customHeight="1">
      <c r="B22" s="51" t="s">
        <v>53</v>
      </c>
      <c r="C22" s="52"/>
      <c r="D22" s="52"/>
      <c r="E22" s="745">
        <v>0.99860000000000004</v>
      </c>
      <c r="F22" s="758"/>
      <c r="G22" s="758"/>
      <c r="H22" s="52"/>
      <c r="I22" s="52" t="s">
        <v>243</v>
      </c>
      <c r="J22" s="52"/>
      <c r="K22" s="52"/>
      <c r="L22" s="668"/>
      <c r="M22" s="669"/>
      <c r="N22" s="727"/>
    </row>
    <row r="23" spans="2:14" ht="18" customHeight="1">
      <c r="B23" s="51"/>
      <c r="C23" s="52"/>
      <c r="D23" s="52"/>
      <c r="E23" s="759"/>
      <c r="F23" s="760"/>
      <c r="G23" s="760"/>
      <c r="H23" s="52"/>
      <c r="I23" s="52" t="s">
        <v>244</v>
      </c>
      <c r="J23" s="52"/>
      <c r="K23" s="52"/>
      <c r="L23" s="668"/>
      <c r="M23" s="669"/>
      <c r="N23" s="727"/>
    </row>
    <row r="24" spans="2:14" ht="18" customHeight="1">
      <c r="B24" s="213"/>
      <c r="G24" s="52"/>
      <c r="H24" s="52"/>
      <c r="I24" s="52" t="s">
        <v>54</v>
      </c>
      <c r="J24" s="52"/>
      <c r="K24" s="52"/>
      <c r="L24" s="668"/>
      <c r="M24" s="669"/>
      <c r="N24" s="727"/>
    </row>
    <row r="25" spans="2:14" ht="18" customHeight="1" thickBot="1">
      <c r="B25" s="213"/>
      <c r="G25" s="52"/>
      <c r="H25" s="52"/>
      <c r="I25" s="52" t="s">
        <v>55</v>
      </c>
      <c r="J25" s="52"/>
      <c r="K25" s="52"/>
      <c r="L25" s="668"/>
      <c r="M25" s="669"/>
      <c r="N25" s="727"/>
    </row>
    <row r="26" spans="2:14" ht="18" customHeight="1">
      <c r="B26" s="140"/>
      <c r="C26" s="750" t="s">
        <v>57</v>
      </c>
      <c r="D26" s="751"/>
      <c r="E26" s="751"/>
      <c r="F26" s="752"/>
      <c r="G26" s="52"/>
      <c r="H26" s="52"/>
      <c r="I26" s="52" t="s">
        <v>56</v>
      </c>
      <c r="J26" s="52"/>
      <c r="K26" s="52"/>
      <c r="L26" s="745"/>
      <c r="M26" s="745"/>
      <c r="N26" s="746"/>
    </row>
    <row r="27" spans="2:14" ht="18" customHeight="1" thickBot="1">
      <c r="B27" s="140"/>
      <c r="C27" s="753" t="s">
        <v>59</v>
      </c>
      <c r="D27" s="754"/>
      <c r="E27" s="755" t="s">
        <v>60</v>
      </c>
      <c r="F27" s="756"/>
      <c r="G27" s="52"/>
      <c r="H27" s="52"/>
      <c r="I27" s="52" t="s">
        <v>58</v>
      </c>
      <c r="J27" s="52"/>
      <c r="K27" s="52"/>
      <c r="L27" s="238"/>
      <c r="M27" s="238"/>
      <c r="N27" s="239"/>
    </row>
    <row r="28" spans="2:14" ht="20.25" customHeight="1">
      <c r="B28" s="143" t="s">
        <v>62</v>
      </c>
      <c r="C28" s="659" t="s">
        <v>245</v>
      </c>
      <c r="D28" s="660"/>
      <c r="E28" s="660"/>
      <c r="F28" s="661"/>
      <c r="G28" s="52"/>
      <c r="H28" s="52"/>
      <c r="I28" s="52" t="s">
        <v>61</v>
      </c>
      <c r="J28" s="52"/>
      <c r="K28" s="52"/>
      <c r="L28" s="238"/>
      <c r="M28" s="238"/>
      <c r="N28" s="239"/>
    </row>
    <row r="29" spans="2:14" ht="20.25" customHeight="1">
      <c r="B29" s="144" t="s">
        <v>63</v>
      </c>
      <c r="C29" s="662"/>
      <c r="D29" s="663"/>
      <c r="E29" s="663"/>
      <c r="F29" s="664"/>
      <c r="G29" s="52"/>
      <c r="H29" s="52"/>
      <c r="I29" s="52" t="s">
        <v>246</v>
      </c>
      <c r="J29" s="52"/>
      <c r="K29" s="52"/>
      <c r="L29" s="238"/>
      <c r="M29" s="238"/>
      <c r="N29" s="239"/>
    </row>
    <row r="30" spans="2:14" ht="18" customHeight="1" thickBot="1">
      <c r="B30" s="145" t="s">
        <v>64</v>
      </c>
      <c r="C30" s="665"/>
      <c r="D30" s="666"/>
      <c r="E30" s="666"/>
      <c r="F30" s="667"/>
      <c r="G30" s="52"/>
      <c r="H30" s="52"/>
      <c r="I30" s="52" t="s">
        <v>247</v>
      </c>
      <c r="J30" s="52"/>
      <c r="K30" s="52"/>
      <c r="L30" s="668"/>
      <c r="M30" s="669"/>
      <c r="N30" s="727"/>
    </row>
    <row r="31" spans="2:14" ht="18" customHeight="1">
      <c r="B31" s="213"/>
      <c r="G31" s="52"/>
      <c r="H31" s="52"/>
      <c r="I31" s="52" t="s">
        <v>248</v>
      </c>
      <c r="J31" s="52"/>
      <c r="K31" s="52"/>
      <c r="L31" s="668"/>
      <c r="M31" s="669"/>
      <c r="N31" s="727"/>
    </row>
    <row r="32" spans="2:14" ht="18" customHeight="1" thickBot="1">
      <c r="B32" s="213"/>
      <c r="G32" s="52"/>
      <c r="H32" s="52"/>
      <c r="I32" s="52"/>
      <c r="J32" s="52"/>
      <c r="K32" s="52"/>
      <c r="L32" s="728"/>
      <c r="M32" s="729"/>
      <c r="N32" s="730"/>
    </row>
    <row r="33" spans="2:14" ht="18" customHeight="1">
      <c r="B33" s="731" t="s">
        <v>66</v>
      </c>
      <c r="C33" s="732"/>
      <c r="D33" s="735"/>
      <c r="E33" s="736"/>
      <c r="F33" s="737"/>
      <c r="G33" s="141"/>
      <c r="H33" s="741" t="s">
        <v>65</v>
      </c>
      <c r="I33" s="742"/>
      <c r="J33" s="700" t="s">
        <v>311</v>
      </c>
      <c r="K33" s="701"/>
      <c r="L33" s="701"/>
      <c r="M33" s="701"/>
      <c r="N33" s="702"/>
    </row>
    <row r="34" spans="2:14" ht="36" customHeight="1" thickBot="1">
      <c r="B34" s="733"/>
      <c r="C34" s="734"/>
      <c r="D34" s="738"/>
      <c r="E34" s="739"/>
      <c r="F34" s="740"/>
      <c r="G34" s="141"/>
      <c r="H34" s="743" t="s">
        <v>316</v>
      </c>
      <c r="I34" s="744"/>
      <c r="J34" s="703"/>
      <c r="K34" s="704"/>
      <c r="L34" s="704"/>
      <c r="M34" s="704"/>
      <c r="N34" s="705"/>
    </row>
    <row r="35" spans="2:14" ht="36" customHeight="1" thickBot="1">
      <c r="B35" s="213"/>
      <c r="G35" s="141"/>
      <c r="H35" s="657" t="s">
        <v>68</v>
      </c>
      <c r="I35" s="658"/>
      <c r="J35" s="697" t="s">
        <v>314</v>
      </c>
      <c r="K35" s="698"/>
      <c r="L35" s="698"/>
      <c r="M35" s="698"/>
      <c r="N35" s="699"/>
    </row>
    <row r="36" spans="2:14" ht="14.25" customHeight="1" thickBot="1">
      <c r="B36" s="58" t="s">
        <v>69</v>
      </c>
      <c r="C36" s="52"/>
      <c r="D36" s="55"/>
      <c r="E36" s="59"/>
      <c r="F36" s="55"/>
      <c r="G36" s="55"/>
      <c r="H36" s="55"/>
      <c r="I36" s="52"/>
      <c r="J36" s="52"/>
      <c r="K36" s="52"/>
      <c r="L36" s="718"/>
      <c r="M36" s="719"/>
      <c r="N36" s="720"/>
    </row>
    <row r="37" spans="2:14" ht="18" customHeight="1" thickBot="1">
      <c r="B37" s="154" t="s">
        <v>70</v>
      </c>
      <c r="C37" s="721" t="s">
        <v>92</v>
      </c>
      <c r="D37" s="722"/>
      <c r="E37" s="722" t="s">
        <v>93</v>
      </c>
      <c r="F37" s="722"/>
      <c r="G37" s="722" t="s">
        <v>94</v>
      </c>
      <c r="H37" s="722"/>
      <c r="I37" s="723"/>
      <c r="J37" s="724"/>
      <c r="K37" s="725"/>
      <c r="L37" s="725"/>
      <c r="M37" s="725"/>
      <c r="N37" s="726"/>
    </row>
    <row r="38" spans="2:14" ht="18" customHeight="1">
      <c r="B38" s="170" t="s">
        <v>71</v>
      </c>
      <c r="C38" s="688" t="s">
        <v>268</v>
      </c>
      <c r="D38" s="716"/>
      <c r="E38" s="717" t="s">
        <v>261</v>
      </c>
      <c r="F38" s="717"/>
      <c r="G38" s="717" t="s">
        <v>274</v>
      </c>
      <c r="H38" s="717"/>
      <c r="I38" s="691"/>
      <c r="J38" s="691"/>
      <c r="K38" s="691"/>
      <c r="L38" s="691"/>
      <c r="M38" s="691"/>
      <c r="N38" s="712"/>
    </row>
    <row r="39" spans="2:14" ht="18" customHeight="1">
      <c r="B39" s="171" t="s">
        <v>72</v>
      </c>
      <c r="C39" s="688" t="s">
        <v>257</v>
      </c>
      <c r="D39" s="689"/>
      <c r="E39" s="690" t="s">
        <v>256</v>
      </c>
      <c r="F39" s="690"/>
      <c r="G39" s="688" t="s">
        <v>258</v>
      </c>
      <c r="H39" s="689"/>
      <c r="I39" s="691"/>
      <c r="J39" s="691"/>
      <c r="K39" s="691"/>
      <c r="L39" s="691"/>
      <c r="M39" s="691"/>
      <c r="N39" s="712"/>
    </row>
    <row r="40" spans="2:14" ht="18" customHeight="1" thickBot="1">
      <c r="B40" s="172" t="s">
        <v>72</v>
      </c>
      <c r="C40" s="693" t="s">
        <v>255</v>
      </c>
      <c r="D40" s="694"/>
      <c r="E40" s="713" t="s">
        <v>277</v>
      </c>
      <c r="F40" s="713"/>
      <c r="G40" s="713" t="s">
        <v>295</v>
      </c>
      <c r="H40" s="713"/>
      <c r="I40" s="714"/>
      <c r="J40" s="714"/>
      <c r="K40" s="714"/>
      <c r="L40" s="714"/>
      <c r="M40" s="714"/>
      <c r="N40" s="715"/>
    </row>
    <row r="41" spans="2:14" ht="18" customHeight="1">
      <c r="B41" s="214"/>
      <c r="C41" s="141"/>
      <c r="D41" s="141"/>
      <c r="E41" s="141"/>
      <c r="F41" s="141"/>
      <c r="G41" s="141"/>
      <c r="H41" s="141"/>
      <c r="I41" s="141"/>
      <c r="J41" s="141"/>
      <c r="K41" s="141"/>
      <c r="L41" s="141"/>
      <c r="M41" s="141"/>
      <c r="N41" s="246"/>
    </row>
    <row r="42" spans="2:14" ht="5.25" customHeight="1" thickBot="1">
      <c r="B42" s="51"/>
      <c r="C42" s="52"/>
      <c r="D42" s="52"/>
      <c r="E42" s="52"/>
      <c r="F42" s="52"/>
      <c r="G42" s="52"/>
      <c r="H42" s="52"/>
      <c r="I42" s="52"/>
      <c r="J42" s="52"/>
      <c r="K42" s="52"/>
      <c r="L42" s="52"/>
      <c r="M42" s="52"/>
      <c r="N42" s="54"/>
    </row>
    <row r="43" spans="2:14" ht="15.75" customHeight="1" thickBot="1">
      <c r="B43" s="163" t="s">
        <v>73</v>
      </c>
      <c r="C43" s="159" t="s">
        <v>74</v>
      </c>
      <c r="D43" s="160" t="s">
        <v>75</v>
      </c>
      <c r="E43" s="161" t="s">
        <v>76</v>
      </c>
      <c r="F43" s="52"/>
      <c r="G43" s="52"/>
      <c r="H43" s="52"/>
      <c r="I43" s="165" t="s">
        <v>77</v>
      </c>
      <c r="J43" s="166"/>
      <c r="K43" s="706" t="s">
        <v>282</v>
      </c>
      <c r="L43" s="706"/>
      <c r="M43" s="706"/>
      <c r="N43" s="707"/>
    </row>
    <row r="44" spans="2:14" ht="18" customHeight="1">
      <c r="B44" s="158" t="s">
        <v>78</v>
      </c>
      <c r="C44" s="157" t="s">
        <v>297</v>
      </c>
      <c r="D44" s="155" t="s">
        <v>296</v>
      </c>
      <c r="E44" s="162" t="s">
        <v>281</v>
      </c>
      <c r="F44" s="229" t="s">
        <v>275</v>
      </c>
      <c r="G44" s="52"/>
      <c r="H44" s="52"/>
      <c r="I44" s="167" t="s">
        <v>79</v>
      </c>
      <c r="J44" s="146"/>
      <c r="K44" s="708" t="s">
        <v>283</v>
      </c>
      <c r="L44" s="708"/>
      <c r="M44" s="708"/>
      <c r="N44" s="709"/>
    </row>
    <row r="45" spans="2:14" ht="18" customHeight="1" thickBot="1">
      <c r="B45" s="164" t="s">
        <v>80</v>
      </c>
      <c r="C45" s="215" t="s">
        <v>298</v>
      </c>
      <c r="D45" s="216" t="s">
        <v>299</v>
      </c>
      <c r="E45" s="217" t="s">
        <v>298</v>
      </c>
      <c r="F45" s="229" t="s">
        <v>275</v>
      </c>
      <c r="G45" s="52"/>
      <c r="H45" s="52"/>
      <c r="I45" s="168" t="s">
        <v>81</v>
      </c>
      <c r="J45" s="169"/>
      <c r="K45" s="710" t="s">
        <v>284</v>
      </c>
      <c r="L45" s="710"/>
      <c r="M45" s="710"/>
      <c r="N45" s="711"/>
    </row>
    <row r="46" spans="2:14" ht="7.5" customHeight="1" thickBot="1">
      <c r="B46" s="51"/>
      <c r="C46" s="52"/>
      <c r="D46" s="52"/>
      <c r="E46" s="52"/>
      <c r="F46" s="52"/>
      <c r="G46" s="52"/>
      <c r="H46" s="52"/>
      <c r="I46" s="52"/>
      <c r="J46" s="52"/>
      <c r="K46" s="52"/>
      <c r="L46" s="52"/>
      <c r="M46" s="52"/>
      <c r="N46" s="54"/>
    </row>
    <row r="47" spans="2:14" ht="15" customHeight="1">
      <c r="B47" s="675" t="s">
        <v>82</v>
      </c>
      <c r="C47" s="676"/>
      <c r="D47" s="676"/>
      <c r="E47" s="676"/>
      <c r="F47" s="676"/>
      <c r="G47" s="677"/>
      <c r="H47" s="55"/>
      <c r="I47" s="200" t="s">
        <v>134</v>
      </c>
      <c r="J47" s="201"/>
      <c r="K47" s="201"/>
      <c r="L47" s="201"/>
      <c r="M47" s="201"/>
      <c r="N47" s="202"/>
    </row>
    <row r="48" spans="2:14" ht="18" customHeight="1">
      <c r="B48" s="57" t="s">
        <v>83</v>
      </c>
      <c r="C48" s="60" t="s">
        <v>84</v>
      </c>
      <c r="D48" s="60" t="s">
        <v>83</v>
      </c>
      <c r="E48" s="60" t="s">
        <v>84</v>
      </c>
      <c r="F48" s="60" t="s">
        <v>83</v>
      </c>
      <c r="G48" s="199" t="s">
        <v>84</v>
      </c>
      <c r="H48" s="52"/>
      <c r="I48" s="203"/>
      <c r="J48" s="203"/>
      <c r="K48" s="203"/>
      <c r="L48" s="203"/>
      <c r="M48" s="203"/>
      <c r="N48" s="204"/>
    </row>
    <row r="49" spans="2:14" ht="18" customHeight="1">
      <c r="B49" s="678" t="s">
        <v>85</v>
      </c>
      <c r="C49" s="679"/>
      <c r="D49" s="679"/>
      <c r="E49" s="679"/>
      <c r="F49" s="679"/>
      <c r="G49" s="680"/>
      <c r="H49" s="198"/>
      <c r="I49" s="205"/>
      <c r="J49" s="203"/>
      <c r="K49" s="203"/>
      <c r="L49" s="203"/>
      <c r="M49" s="203"/>
      <c r="N49" s="204"/>
    </row>
    <row r="50" spans="2:14" ht="18" customHeight="1">
      <c r="B50" s="681"/>
      <c r="C50" s="682"/>
      <c r="D50" s="682"/>
      <c r="E50" s="682"/>
      <c r="F50" s="682"/>
      <c r="G50" s="683"/>
      <c r="H50" s="198"/>
      <c r="I50" s="205"/>
      <c r="J50" s="203"/>
      <c r="K50" s="203"/>
      <c r="L50" s="203"/>
      <c r="M50" s="203"/>
      <c r="N50" s="204"/>
    </row>
    <row r="51" spans="2:14" ht="18" customHeight="1" thickBot="1">
      <c r="B51" s="684"/>
      <c r="C51" s="685"/>
      <c r="D51" s="685"/>
      <c r="E51" s="685"/>
      <c r="F51" s="685"/>
      <c r="G51" s="686"/>
      <c r="H51" s="198"/>
      <c r="I51" s="205"/>
      <c r="J51" s="203"/>
      <c r="K51" s="203"/>
      <c r="L51" s="203"/>
      <c r="M51" s="203"/>
      <c r="N51" s="204"/>
    </row>
    <row r="52" spans="2:14" ht="18" customHeight="1">
      <c r="B52" s="51"/>
      <c r="C52" s="52"/>
      <c r="D52" s="52"/>
      <c r="E52" s="52"/>
      <c r="F52" s="52"/>
      <c r="G52" s="52"/>
      <c r="H52" s="52"/>
      <c r="I52" s="52"/>
      <c r="J52" s="52"/>
      <c r="K52" s="52"/>
      <c r="L52" s="52"/>
      <c r="M52" s="52"/>
      <c r="N52" s="54"/>
    </row>
    <row r="53" spans="2:14" ht="18" customHeight="1">
      <c r="B53" s="51" t="s">
        <v>259</v>
      </c>
      <c r="C53" s="52"/>
      <c r="D53" s="52"/>
      <c r="E53" s="141"/>
      <c r="F53" s="52"/>
      <c r="G53" s="687"/>
      <c r="H53" s="687"/>
      <c r="I53" s="687"/>
      <c r="J53" s="687"/>
      <c r="K53" s="52"/>
      <c r="L53" s="687"/>
      <c r="M53" s="687"/>
      <c r="N53" s="692"/>
    </row>
    <row r="54" spans="2:14" ht="18" customHeight="1">
      <c r="B54" s="51"/>
      <c r="C54" s="52"/>
      <c r="D54" s="52"/>
      <c r="E54" s="52"/>
      <c r="F54" s="52"/>
      <c r="G54" s="231" t="s">
        <v>86</v>
      </c>
      <c r="H54" s="142"/>
      <c r="I54" s="142"/>
      <c r="J54" s="142"/>
      <c r="K54" s="52"/>
      <c r="L54" s="695" t="s">
        <v>87</v>
      </c>
      <c r="M54" s="695"/>
      <c r="N54" s="696"/>
    </row>
    <row r="55" spans="2:14" ht="18" customHeight="1">
      <c r="B55" s="58" t="s">
        <v>88</v>
      </c>
      <c r="C55" s="52"/>
      <c r="D55" s="52"/>
      <c r="E55" s="52"/>
      <c r="F55" s="52"/>
      <c r="G55" s="52"/>
      <c r="H55" s="52"/>
      <c r="I55" s="52"/>
      <c r="J55" s="52"/>
      <c r="K55" s="52"/>
      <c r="L55" s="52"/>
      <c r="M55" s="52"/>
      <c r="N55" s="54"/>
    </row>
    <row r="56" spans="2:14" ht="3.75" customHeight="1" thickBot="1">
      <c r="B56" s="61"/>
      <c r="C56" s="62"/>
      <c r="D56" s="62"/>
      <c r="E56" s="62"/>
      <c r="F56" s="62"/>
      <c r="G56" s="62"/>
      <c r="H56" s="62"/>
      <c r="I56" s="62"/>
      <c r="J56" s="62"/>
      <c r="K56" s="62"/>
      <c r="L56" s="62"/>
      <c r="M56" s="62"/>
      <c r="N56" s="63"/>
    </row>
    <row r="57" spans="2:14" ht="9" customHeight="1"/>
    <row r="58" spans="2:14" ht="18" hidden="1" customHeight="1"/>
    <row r="59" spans="2:14" ht="18" hidden="1" customHeight="1"/>
    <row r="60" spans="2:14" ht="18" hidden="1" customHeight="1"/>
    <row r="61" spans="2:14" ht="18" hidden="1" customHeight="1"/>
    <row r="62" spans="2:14" ht="18" hidden="1" customHeight="1"/>
    <row r="63" spans="2:14" ht="18" hidden="1" customHeight="1"/>
    <row r="64" spans="2:14" ht="18" hidden="1" customHeight="1"/>
    <row r="65" ht="18" hidden="1" customHeight="1"/>
    <row r="66" ht="18" hidden="1" customHeight="1"/>
    <row r="67" ht="18" hidden="1" customHeight="1"/>
    <row r="68" ht="18" hidden="1" customHeight="1"/>
    <row r="69" ht="18" hidden="1" customHeight="1"/>
    <row r="70" ht="18" hidden="1" customHeight="1"/>
    <row r="71" ht="18" hidden="1" customHeight="1"/>
    <row r="72" ht="18" hidden="1" customHeight="1"/>
    <row r="73" ht="18" hidden="1" customHeight="1"/>
    <row r="74" ht="18" hidden="1" customHeight="1"/>
    <row r="75" ht="18" hidden="1" customHeight="1"/>
    <row r="76" ht="18" hidden="1" customHeight="1"/>
    <row r="77" ht="18" hidden="1" customHeight="1"/>
    <row r="78" ht="18" hidden="1" customHeight="1"/>
    <row r="79" ht="18" hidden="1" customHeight="1"/>
    <row r="80" ht="18" hidden="1" customHeight="1"/>
    <row r="81" ht="18" hidden="1" customHeight="1"/>
    <row r="82" ht="18" hidden="1" customHeight="1"/>
    <row r="83" ht="18" hidden="1" customHeight="1"/>
    <row r="84" ht="18" hidden="1" customHeight="1"/>
    <row r="85" ht="18" hidden="1" customHeight="1"/>
    <row r="86" ht="18" hidden="1" customHeight="1"/>
    <row r="87" ht="18" hidden="1" customHeight="1"/>
    <row r="88" ht="18" hidden="1" customHeight="1"/>
    <row r="89" ht="18" hidden="1" customHeight="1"/>
    <row r="90" ht="18" hidden="1" customHeight="1"/>
    <row r="91" ht="18" hidden="1" customHeight="1"/>
    <row r="92" ht="18" hidden="1" customHeight="1"/>
    <row r="93" ht="18" hidden="1" customHeight="1"/>
    <row r="94" ht="18" hidden="1" customHeight="1"/>
    <row r="95" ht="18" hidden="1" customHeight="1"/>
    <row r="96" ht="18" hidden="1" customHeight="1"/>
    <row r="97" ht="18" hidden="1" customHeight="1"/>
    <row r="98" ht="18" hidden="1" customHeight="1"/>
    <row r="99" ht="18" hidden="1" customHeight="1"/>
    <row r="100" ht="18" hidden="1" customHeight="1"/>
    <row r="101" ht="18" hidden="1" customHeight="1"/>
    <row r="102" ht="18" hidden="1" customHeight="1"/>
    <row r="103" ht="18" hidden="1" customHeight="1"/>
    <row r="104" ht="18" hidden="1" customHeight="1"/>
    <row r="105" ht="18" hidden="1" customHeight="1"/>
    <row r="106" ht="18" hidden="1" customHeight="1"/>
    <row r="107" ht="18" hidden="1" customHeight="1"/>
    <row r="108" ht="18" hidden="1" customHeight="1"/>
    <row r="109" ht="18" hidden="1" customHeight="1"/>
    <row r="110" ht="18" hidden="1" customHeight="1"/>
    <row r="111" ht="18" hidden="1" customHeight="1"/>
    <row r="112" ht="18" hidden="1" customHeight="1"/>
    <row r="113" ht="18" hidden="1" customHeight="1"/>
    <row r="114" ht="18" hidden="1" customHeight="1"/>
    <row r="115" ht="18" hidden="1" customHeight="1"/>
    <row r="116" ht="18" hidden="1" customHeight="1"/>
    <row r="117" ht="18" hidden="1" customHeight="1"/>
    <row r="118" ht="18" hidden="1" customHeight="1"/>
    <row r="119" ht="18" hidden="1" customHeight="1"/>
    <row r="120" ht="18" hidden="1" customHeight="1"/>
    <row r="121" ht="18" hidden="1" customHeight="1"/>
    <row r="122" ht="18" hidden="1" customHeight="1"/>
    <row r="123" ht="18" hidden="1" customHeight="1"/>
    <row r="124" ht="18" hidden="1" customHeight="1"/>
    <row r="125" ht="18" hidden="1" customHeight="1"/>
    <row r="126" ht="18" hidden="1" customHeight="1"/>
    <row r="127" ht="18" hidden="1" customHeight="1"/>
    <row r="128" ht="18" hidden="1" customHeight="1"/>
    <row r="129" ht="18" hidden="1" customHeight="1"/>
    <row r="130" ht="18" hidden="1" customHeight="1"/>
    <row r="131" ht="18" hidden="1" customHeight="1"/>
    <row r="132" ht="18" hidden="1" customHeight="1"/>
    <row r="133" ht="18" hidden="1" customHeight="1"/>
    <row r="134" ht="18" hidden="1" customHeight="1"/>
    <row r="135" ht="18" hidden="1" customHeight="1"/>
    <row r="136" ht="18" hidden="1" customHeight="1"/>
    <row r="137" ht="18" hidden="1" customHeight="1"/>
    <row r="138" ht="18" hidden="1" customHeight="1"/>
    <row r="139" ht="18" hidden="1" customHeight="1"/>
    <row r="140" ht="18" hidden="1" customHeight="1"/>
    <row r="141" ht="18" hidden="1" customHeight="1"/>
    <row r="142" ht="18" hidden="1" customHeight="1"/>
    <row r="143" ht="18" hidden="1" customHeight="1"/>
    <row r="144" ht="18" hidden="1" customHeight="1"/>
    <row r="145" ht="18" hidden="1" customHeight="1"/>
    <row r="146" ht="18" hidden="1" customHeight="1"/>
    <row r="147" ht="18" hidden="1" customHeight="1"/>
    <row r="148" ht="18" hidden="1" customHeight="1"/>
    <row r="149" ht="18" hidden="1" customHeight="1"/>
    <row r="150" ht="18" hidden="1" customHeight="1"/>
    <row r="151" ht="18" hidden="1" customHeight="1"/>
    <row r="152" ht="18" hidden="1" customHeight="1"/>
    <row r="153" ht="18" hidden="1" customHeight="1"/>
    <row r="154" ht="18" hidden="1" customHeight="1"/>
    <row r="155" ht="18" hidden="1" customHeight="1"/>
    <row r="156" ht="18" hidden="1" customHeight="1"/>
    <row r="157" ht="18" hidden="1" customHeight="1"/>
    <row r="158" ht="18" hidden="1" customHeight="1"/>
    <row r="159" ht="18" hidden="1" customHeight="1"/>
    <row r="160" ht="18" hidden="1" customHeight="1"/>
    <row r="161" ht="18" hidden="1" customHeight="1"/>
    <row r="162" ht="18" hidden="1" customHeight="1"/>
    <row r="163" ht="18" hidden="1" customHeight="1"/>
    <row r="164" ht="18" hidden="1" customHeight="1"/>
    <row r="165" ht="18" hidden="1" customHeight="1"/>
    <row r="166" ht="18" hidden="1" customHeight="1"/>
    <row r="167" ht="18" hidden="1" customHeight="1"/>
    <row r="168" ht="18" hidden="1" customHeight="1"/>
    <row r="169" ht="18" hidden="1" customHeight="1"/>
    <row r="170" ht="18" hidden="1" customHeight="1"/>
    <row r="171" ht="18" hidden="1" customHeight="1"/>
    <row r="172" ht="18" hidden="1" customHeight="1"/>
    <row r="173" ht="18" hidden="1" customHeight="1"/>
    <row r="174" ht="18" hidden="1" customHeight="1"/>
    <row r="175" ht="18" hidden="1" customHeight="1"/>
    <row r="176" ht="18" hidden="1" customHeight="1"/>
    <row r="177" ht="18" hidden="1" customHeight="1"/>
    <row r="178" ht="18" hidden="1" customHeight="1"/>
    <row r="179" ht="18" hidden="1" customHeight="1"/>
    <row r="180" ht="18" hidden="1" customHeight="1"/>
    <row r="181" ht="18" hidden="1" customHeight="1"/>
    <row r="182" ht="18" hidden="1" customHeight="1"/>
    <row r="183" ht="18" hidden="1" customHeight="1"/>
    <row r="184" ht="18" hidden="1" customHeight="1"/>
    <row r="185" ht="18" hidden="1" customHeight="1"/>
    <row r="186" ht="18" hidden="1" customHeight="1"/>
    <row r="187" ht="18" hidden="1" customHeight="1"/>
    <row r="188" ht="18" hidden="1" customHeight="1"/>
    <row r="189" ht="18" hidden="1" customHeight="1"/>
    <row r="190" ht="18" hidden="1" customHeight="1"/>
    <row r="191" ht="18" hidden="1" customHeight="1"/>
    <row r="192" ht="18" hidden="1" customHeight="1"/>
    <row r="193" ht="18" hidden="1" customHeight="1"/>
    <row r="194" ht="18" hidden="1" customHeight="1"/>
    <row r="195" ht="18" hidden="1" customHeight="1"/>
    <row r="196" ht="18" hidden="1" customHeight="1"/>
    <row r="197" ht="18" hidden="1" customHeight="1"/>
    <row r="198" ht="18" hidden="1" customHeight="1"/>
    <row r="199" ht="18" hidden="1" customHeight="1"/>
    <row r="200" ht="12.75" customHeight="1"/>
  </sheetData>
  <mergeCells count="85">
    <mergeCell ref="E2:K3"/>
    <mergeCell ref="C5:E5"/>
    <mergeCell ref="G5:J5"/>
    <mergeCell ref="M5:N5"/>
    <mergeCell ref="C7:E7"/>
    <mergeCell ref="G7:J7"/>
    <mergeCell ref="M7:N7"/>
    <mergeCell ref="B9:G9"/>
    <mergeCell ref="I9:N9"/>
    <mergeCell ref="B12:C14"/>
    <mergeCell ref="I12:J14"/>
    <mergeCell ref="B15:C17"/>
    <mergeCell ref="I15:J17"/>
    <mergeCell ref="E18:G18"/>
    <mergeCell ref="L18:N18"/>
    <mergeCell ref="E19:G19"/>
    <mergeCell ref="L19:N19"/>
    <mergeCell ref="E20:G20"/>
    <mergeCell ref="L20:N20"/>
    <mergeCell ref="E21:G21"/>
    <mergeCell ref="L21:N21"/>
    <mergeCell ref="E22:G22"/>
    <mergeCell ref="L22:N22"/>
    <mergeCell ref="E23:G23"/>
    <mergeCell ref="L23:N23"/>
    <mergeCell ref="L24:N24"/>
    <mergeCell ref="L25:N25"/>
    <mergeCell ref="C26:F26"/>
    <mergeCell ref="L26:N26"/>
    <mergeCell ref="C27:D27"/>
    <mergeCell ref="E27:F27"/>
    <mergeCell ref="C28:F30"/>
    <mergeCell ref="L30:N30"/>
    <mergeCell ref="L31:N31"/>
    <mergeCell ref="L32:N32"/>
    <mergeCell ref="B33:C34"/>
    <mergeCell ref="D33:F34"/>
    <mergeCell ref="H33:I33"/>
    <mergeCell ref="J33:N33"/>
    <mergeCell ref="H34:I34"/>
    <mergeCell ref="J34:N34"/>
    <mergeCell ref="H35:I35"/>
    <mergeCell ref="J35:N35"/>
    <mergeCell ref="L36:N36"/>
    <mergeCell ref="C37:D37"/>
    <mergeCell ref="E37:F37"/>
    <mergeCell ref="G37:H37"/>
    <mergeCell ref="I37:J37"/>
    <mergeCell ref="K37:L37"/>
    <mergeCell ref="M37:N37"/>
    <mergeCell ref="M39:N39"/>
    <mergeCell ref="C38:D38"/>
    <mergeCell ref="E38:F38"/>
    <mergeCell ref="G38:H38"/>
    <mergeCell ref="I38:J38"/>
    <mergeCell ref="K38:L38"/>
    <mergeCell ref="M38:N38"/>
    <mergeCell ref="C39:D39"/>
    <mergeCell ref="E39:F39"/>
    <mergeCell ref="G39:H39"/>
    <mergeCell ref="I39:J39"/>
    <mergeCell ref="K39:L39"/>
    <mergeCell ref="L53:N53"/>
    <mergeCell ref="C40:D40"/>
    <mergeCell ref="E40:F40"/>
    <mergeCell ref="G40:H40"/>
    <mergeCell ref="I40:J40"/>
    <mergeCell ref="K40:L40"/>
    <mergeCell ref="M40:N40"/>
    <mergeCell ref="L54:N54"/>
    <mergeCell ref="E10:G10"/>
    <mergeCell ref="E12:G12"/>
    <mergeCell ref="E13:G13"/>
    <mergeCell ref="E14:G14"/>
    <mergeCell ref="L11:N11"/>
    <mergeCell ref="L10:N10"/>
    <mergeCell ref="L12:N12"/>
    <mergeCell ref="L13:N13"/>
    <mergeCell ref="L14:N14"/>
    <mergeCell ref="K43:N43"/>
    <mergeCell ref="K44:N44"/>
    <mergeCell ref="K45:N45"/>
    <mergeCell ref="B47:G47"/>
    <mergeCell ref="B49:G51"/>
    <mergeCell ref="G53:J53"/>
  </mergeCells>
  <dataValidations disablePrompts="1" count="1">
    <dataValidation type="list" allowBlank="1" showInputMessage="1" showErrorMessage="1" sqref="E53" xr:uid="{00000000-0002-0000-1100-000000000000}">
      <formula1>"YES, NO"</formula1>
    </dataValidation>
  </dataValidations>
  <printOptions horizontalCentered="1"/>
  <pageMargins left="3.937007874015748E-2" right="3.937007874015748E-2" top="0.39370078740157483" bottom="0.39370078740157483" header="0.23622047244094491" footer="0.23622047244094491"/>
  <pageSetup paperSize="9" scale="74" fitToHeight="0" orientation="portrait"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00B050"/>
    <pageSetUpPr fitToPage="1"/>
  </sheetPr>
  <dimension ref="A1:AP145"/>
  <sheetViews>
    <sheetView workbookViewId="0">
      <selection activeCell="U5" sqref="U5"/>
    </sheetView>
  </sheetViews>
  <sheetFormatPr baseColWidth="10" defaultColWidth="0" defaultRowHeight="0" customHeight="1" zeroHeight="1"/>
  <cols>
    <col min="1" max="1" width="5.5703125" style="40" customWidth="1"/>
    <col min="2" max="2" width="6" style="40" customWidth="1"/>
    <col min="3" max="3" width="5" style="40" customWidth="1"/>
    <col min="4" max="4" width="6.85546875" style="40" customWidth="1"/>
    <col min="5" max="5" width="5.7109375" style="40" customWidth="1"/>
    <col min="6" max="18" width="5" style="40" customWidth="1"/>
    <col min="19" max="19" width="6.5703125" style="40" customWidth="1"/>
    <col min="20" max="20" width="8.85546875" style="40" customWidth="1"/>
    <col min="21" max="27" width="5" style="40" customWidth="1"/>
    <col min="28" max="28" width="4.28515625" style="40" customWidth="1"/>
    <col min="29" max="29" width="8.5703125" style="40" hidden="1" customWidth="1"/>
    <col min="30" max="31" width="0" style="40" hidden="1" customWidth="1"/>
    <col min="32" max="32" width="8.28515625" style="40" hidden="1" customWidth="1"/>
    <col min="33" max="42" width="9.7109375" style="40" hidden="1" customWidth="1"/>
    <col min="43" max="16384" width="0" style="40" hidden="1"/>
  </cols>
  <sheetData>
    <row r="1" spans="1:28" ht="19.5" customHeight="1">
      <c r="A1" s="424"/>
      <c r="B1" s="283"/>
      <c r="C1" s="283"/>
      <c r="D1" s="283"/>
      <c r="E1" s="283"/>
      <c r="F1" s="284"/>
      <c r="G1" s="930" t="s">
        <v>521</v>
      </c>
      <c r="H1" s="930"/>
      <c r="I1" s="930"/>
      <c r="J1" s="930"/>
      <c r="K1" s="930"/>
      <c r="L1" s="930"/>
      <c r="M1" s="930"/>
      <c r="N1" s="930"/>
      <c r="O1" s="930"/>
      <c r="P1" s="930"/>
      <c r="Q1" s="930"/>
      <c r="R1" s="930"/>
      <c r="S1" s="930"/>
      <c r="T1" s="930"/>
      <c r="U1" s="931"/>
      <c r="V1" s="932"/>
      <c r="W1" s="932"/>
      <c r="X1" s="932"/>
      <c r="Y1" s="932" t="s">
        <v>2</v>
      </c>
      <c r="Z1" s="932"/>
      <c r="AA1" s="935"/>
    </row>
    <row r="2" spans="1:28" ht="20.25" customHeight="1" thickBot="1">
      <c r="A2" s="46"/>
      <c r="B2" s="47"/>
      <c r="C2" s="47"/>
      <c r="D2" s="47"/>
      <c r="E2" s="285"/>
      <c r="F2" s="285"/>
      <c r="G2" s="765"/>
      <c r="H2" s="765"/>
      <c r="I2" s="765"/>
      <c r="J2" s="765"/>
      <c r="K2" s="765"/>
      <c r="L2" s="765"/>
      <c r="M2" s="765"/>
      <c r="N2" s="765"/>
      <c r="O2" s="765"/>
      <c r="P2" s="765"/>
      <c r="Q2" s="765"/>
      <c r="R2" s="765"/>
      <c r="S2" s="765"/>
      <c r="T2" s="765"/>
      <c r="U2" s="766"/>
      <c r="V2" s="936" t="s">
        <v>514</v>
      </c>
      <c r="W2" s="936"/>
      <c r="X2" s="936"/>
      <c r="Y2" s="486" t="s">
        <v>572</v>
      </c>
      <c r="Z2" s="487"/>
      <c r="AA2" s="488"/>
    </row>
    <row r="3" spans="1:28" ht="15.95" customHeight="1">
      <c r="A3" s="448"/>
      <c r="B3" s="286"/>
      <c r="C3" s="286"/>
      <c r="D3" s="286"/>
      <c r="E3" s="286"/>
      <c r="F3" s="286"/>
      <c r="G3" s="286"/>
      <c r="H3" s="286"/>
      <c r="I3" s="286"/>
      <c r="J3" s="286"/>
      <c r="K3" s="286"/>
      <c r="L3" s="286"/>
      <c r="M3" s="286"/>
      <c r="N3" s="286"/>
      <c r="O3" s="286"/>
      <c r="P3" s="286"/>
      <c r="Q3" s="286"/>
      <c r="R3" s="286"/>
      <c r="S3" s="286"/>
      <c r="T3" s="286"/>
      <c r="U3" s="286"/>
      <c r="V3" s="286"/>
      <c r="W3" s="286"/>
      <c r="X3" s="286"/>
      <c r="Y3" s="286"/>
      <c r="Z3" s="286"/>
      <c r="AA3" s="449"/>
      <c r="AB3" s="54"/>
    </row>
    <row r="4" spans="1:28" ht="15.95" customHeight="1">
      <c r="A4" s="941" t="s">
        <v>387</v>
      </c>
      <c r="B4" s="940"/>
      <c r="C4" s="942" t="str">
        <f>IF('Data Entry'!B8="","",'Data Entry'!B8)</f>
        <v/>
      </c>
      <c r="D4" s="942"/>
      <c r="E4" s="942"/>
      <c r="F4" s="942"/>
      <c r="G4" s="942"/>
      <c r="H4" s="942"/>
      <c r="I4" s="940" t="s">
        <v>129</v>
      </c>
      <c r="J4" s="940"/>
      <c r="K4" s="940"/>
      <c r="L4" s="940"/>
      <c r="M4" s="939" t="str">
        <f>IF('Data Entry'!B17="","",'Data Entry'!B17)</f>
        <v/>
      </c>
      <c r="N4" s="939"/>
      <c r="O4" s="939"/>
      <c r="P4" s="939"/>
      <c r="Q4" s="939"/>
      <c r="R4" s="939"/>
      <c r="S4" s="939"/>
      <c r="T4" s="450"/>
      <c r="U4" s="450"/>
      <c r="V4" s="940" t="s">
        <v>388</v>
      </c>
      <c r="W4" s="940"/>
      <c r="X4" s="937"/>
      <c r="Y4" s="937"/>
      <c r="Z4" s="937"/>
      <c r="AA4" s="938"/>
      <c r="AB4" s="52"/>
    </row>
    <row r="5" spans="1:28" ht="15.95" customHeight="1">
      <c r="A5" s="287"/>
      <c r="B5" s="450"/>
      <c r="C5" s="450"/>
      <c r="D5" s="451"/>
      <c r="E5" s="450"/>
      <c r="F5" s="451"/>
      <c r="G5" s="451"/>
      <c r="H5" s="451"/>
      <c r="I5" s="451"/>
      <c r="J5" s="451"/>
      <c r="K5" s="451"/>
      <c r="L5" s="450"/>
      <c r="M5" s="450"/>
      <c r="N5" s="450"/>
      <c r="O5" s="450"/>
      <c r="P5" s="450"/>
      <c r="Q5" s="450"/>
      <c r="R5" s="451"/>
      <c r="S5" s="450"/>
      <c r="T5" s="450"/>
      <c r="U5" s="450"/>
      <c r="V5" s="450"/>
      <c r="W5" s="450"/>
      <c r="X5" s="450"/>
      <c r="Y5" s="450"/>
      <c r="Z5" s="450"/>
      <c r="AA5" s="54"/>
      <c r="AB5" s="52"/>
    </row>
    <row r="6" spans="1:28" ht="15.95" customHeight="1">
      <c r="A6" s="941" t="s">
        <v>385</v>
      </c>
      <c r="B6" s="940"/>
      <c r="C6" s="967" t="str">
        <f>IF('Data Entry'!B19="","",'Data Entry'!B19)</f>
        <v/>
      </c>
      <c r="D6" s="967"/>
      <c r="E6" s="967"/>
      <c r="F6" s="967"/>
      <c r="G6" s="967"/>
      <c r="H6" s="967"/>
      <c r="I6" s="940" t="s">
        <v>389</v>
      </c>
      <c r="J6" s="940"/>
      <c r="K6" s="940"/>
      <c r="L6" s="940"/>
      <c r="M6" s="939" t="str">
        <f>IF('Data Entry'!B23="","",'Data Entry'!B23)</f>
        <v/>
      </c>
      <c r="N6" s="939"/>
      <c r="O6" s="939"/>
      <c r="P6" s="939"/>
      <c r="Q6" s="939"/>
      <c r="R6" s="939"/>
      <c r="S6" s="939"/>
      <c r="T6" s="450"/>
      <c r="U6" s="450"/>
      <c r="V6" s="940" t="s">
        <v>386</v>
      </c>
      <c r="W6" s="940"/>
      <c r="X6" s="933">
        <f ca="1">TODAY()</f>
        <v>46025</v>
      </c>
      <c r="Y6" s="933"/>
      <c r="Z6" s="933"/>
      <c r="AA6" s="934"/>
    </row>
    <row r="7" spans="1:28" ht="15.95" customHeight="1" thickBot="1">
      <c r="A7" s="46"/>
      <c r="B7" s="47"/>
      <c r="C7" s="47"/>
      <c r="D7" s="47"/>
      <c r="E7" s="47"/>
      <c r="F7" s="47"/>
      <c r="G7" s="47"/>
      <c r="H7" s="47"/>
      <c r="I7" s="47"/>
      <c r="J7" s="47"/>
      <c r="K7" s="47"/>
      <c r="L7" s="47"/>
      <c r="M7" s="47"/>
      <c r="N7" s="47"/>
      <c r="O7" s="47"/>
      <c r="P7" s="47"/>
      <c r="Q7" s="47"/>
      <c r="R7" s="47"/>
      <c r="S7" s="47"/>
      <c r="T7" s="47"/>
      <c r="U7" s="47"/>
      <c r="V7" s="47"/>
      <c r="W7" s="47"/>
      <c r="X7" s="47"/>
      <c r="Y7" s="47"/>
      <c r="Z7" s="47"/>
      <c r="AA7" s="288"/>
    </row>
    <row r="8" spans="1:28" ht="15.95" customHeight="1">
      <c r="A8" s="424"/>
      <c r="B8" s="414"/>
      <c r="C8" s="414"/>
      <c r="D8" s="414"/>
      <c r="E8" s="414"/>
      <c r="F8" s="414"/>
      <c r="G8" s="414"/>
      <c r="H8" s="414"/>
      <c r="I8" s="414"/>
      <c r="J8" s="414"/>
      <c r="K8" s="414"/>
      <c r="L8" s="414"/>
      <c r="M8" s="414"/>
      <c r="N8" s="415"/>
      <c r="O8" s="425"/>
      <c r="P8" s="414"/>
      <c r="Q8" s="414"/>
      <c r="R8" s="414"/>
      <c r="S8" s="414"/>
      <c r="T8" s="414"/>
      <c r="U8" s="414"/>
      <c r="V8" s="414"/>
      <c r="W8" s="414"/>
      <c r="X8" s="414"/>
      <c r="Y8" s="414"/>
      <c r="Z8" s="414"/>
      <c r="AA8" s="415"/>
    </row>
    <row r="9" spans="1:28" ht="15.95" customHeight="1">
      <c r="A9" s="416"/>
      <c r="B9" s="423"/>
      <c r="C9" s="417"/>
      <c r="D9" s="862" t="s">
        <v>522</v>
      </c>
      <c r="E9" s="862"/>
      <c r="F9" s="862"/>
      <c r="G9" s="862"/>
      <c r="H9" s="862"/>
      <c r="I9" s="862"/>
      <c r="J9" s="862"/>
      <c r="K9" s="862"/>
      <c r="L9" s="862"/>
      <c r="M9" s="862"/>
      <c r="N9" s="418"/>
      <c r="O9" s="419"/>
      <c r="P9" s="423"/>
      <c r="Q9" s="417"/>
      <c r="R9" s="479" t="s">
        <v>529</v>
      </c>
      <c r="S9" s="479"/>
      <c r="T9" s="479"/>
      <c r="U9" s="479"/>
      <c r="V9" s="479"/>
      <c r="W9" s="479"/>
      <c r="X9" s="479"/>
      <c r="Y9" s="479"/>
      <c r="Z9" s="479"/>
      <c r="AA9" s="480"/>
    </row>
    <row r="10" spans="1:28" ht="15.95" customHeight="1">
      <c r="A10" s="416"/>
      <c r="B10" s="417"/>
      <c r="C10" s="417"/>
      <c r="D10" s="417"/>
      <c r="E10" s="417"/>
      <c r="F10" s="417"/>
      <c r="G10" s="417"/>
      <c r="H10" s="417"/>
      <c r="I10" s="417"/>
      <c r="J10" s="417"/>
      <c r="K10" s="417"/>
      <c r="L10" s="417"/>
      <c r="M10" s="417"/>
      <c r="N10" s="418"/>
      <c r="O10" s="419"/>
      <c r="P10" s="417"/>
      <c r="Q10" s="417"/>
      <c r="R10" s="968"/>
      <c r="S10" s="968"/>
      <c r="T10" s="968"/>
      <c r="U10" s="968"/>
      <c r="V10" s="968"/>
      <c r="W10" s="968"/>
      <c r="X10" s="968"/>
      <c r="Y10" s="968"/>
      <c r="Z10" s="968"/>
      <c r="AA10" s="418"/>
    </row>
    <row r="11" spans="1:28" ht="15.95" customHeight="1">
      <c r="A11" s="416"/>
      <c r="B11" s="423"/>
      <c r="C11" s="417"/>
      <c r="D11" s="862" t="s">
        <v>541</v>
      </c>
      <c r="E11" s="862"/>
      <c r="F11" s="862"/>
      <c r="G11" s="862"/>
      <c r="H11" s="862"/>
      <c r="I11" s="862"/>
      <c r="J11" s="862"/>
      <c r="K11" s="862"/>
      <c r="L11" s="862"/>
      <c r="M11" s="862"/>
      <c r="N11" s="418"/>
      <c r="O11" s="419"/>
      <c r="P11" s="451"/>
      <c r="Q11" s="451"/>
      <c r="R11" s="451"/>
      <c r="S11" s="451"/>
      <c r="T11" s="451"/>
      <c r="U11" s="451"/>
      <c r="V11" s="451"/>
      <c r="W11" s="451"/>
      <c r="X11" s="451"/>
      <c r="Y11" s="451"/>
      <c r="Z11" s="451"/>
      <c r="AA11" s="291"/>
    </row>
    <row r="12" spans="1:28" ht="15.95" customHeight="1">
      <c r="A12" s="416"/>
      <c r="B12" s="417"/>
      <c r="C12" s="417"/>
      <c r="D12" s="968" t="s">
        <v>523</v>
      </c>
      <c r="E12" s="968"/>
      <c r="F12" s="968"/>
      <c r="G12" s="968"/>
      <c r="H12" s="968"/>
      <c r="I12" s="968"/>
      <c r="J12" s="968"/>
      <c r="K12" s="968"/>
      <c r="L12" s="968"/>
      <c r="M12" s="968"/>
      <c r="N12" s="418"/>
      <c r="O12" s="419"/>
      <c r="P12" s="423"/>
      <c r="Q12" s="417"/>
      <c r="R12" s="479" t="s">
        <v>526</v>
      </c>
      <c r="S12" s="479"/>
      <c r="T12" s="479"/>
      <c r="U12" s="479"/>
      <c r="V12" s="479"/>
      <c r="W12" s="479"/>
      <c r="X12" s="479"/>
      <c r="Y12" s="479"/>
      <c r="Z12" s="479"/>
      <c r="AA12" s="480"/>
    </row>
    <row r="13" spans="1:28" ht="15.95" customHeight="1">
      <c r="A13" s="416"/>
      <c r="B13" s="427"/>
      <c r="C13" s="417"/>
      <c r="D13" s="417"/>
      <c r="E13" s="417"/>
      <c r="F13" s="417"/>
      <c r="G13" s="417"/>
      <c r="H13" s="417"/>
      <c r="I13" s="417"/>
      <c r="J13" s="417"/>
      <c r="K13" s="417"/>
      <c r="L13" s="417"/>
      <c r="M13" s="417"/>
      <c r="N13" s="418"/>
      <c r="O13" s="419"/>
      <c r="P13" s="417"/>
      <c r="Q13" s="417"/>
      <c r="R13" s="417"/>
      <c r="S13" s="417"/>
      <c r="T13" s="417"/>
      <c r="U13" s="417"/>
      <c r="V13" s="417"/>
      <c r="W13" s="417"/>
      <c r="X13" s="417"/>
      <c r="Y13" s="417"/>
      <c r="Z13" s="417"/>
      <c r="AA13" s="418"/>
    </row>
    <row r="14" spans="1:28" ht="15.95" customHeight="1">
      <c r="A14" s="416"/>
      <c r="B14" s="426"/>
      <c r="C14" s="417"/>
      <c r="D14" s="862" t="s">
        <v>524</v>
      </c>
      <c r="E14" s="862"/>
      <c r="F14" s="862"/>
      <c r="G14" s="862"/>
      <c r="H14" s="862"/>
      <c r="I14" s="862"/>
      <c r="J14" s="862"/>
      <c r="K14" s="862"/>
      <c r="L14" s="862"/>
      <c r="M14" s="862"/>
      <c r="N14" s="418"/>
      <c r="O14" s="419"/>
      <c r="P14" s="423"/>
      <c r="Q14" s="417"/>
      <c r="R14" s="479" t="s">
        <v>527</v>
      </c>
      <c r="S14" s="479"/>
      <c r="T14" s="479"/>
      <c r="U14" s="479"/>
      <c r="V14" s="479"/>
      <c r="W14" s="479"/>
      <c r="X14" s="479"/>
      <c r="Y14" s="479"/>
      <c r="Z14" s="479"/>
      <c r="AA14" s="480"/>
    </row>
    <row r="15" spans="1:28" ht="15.95" customHeight="1">
      <c r="A15" s="416"/>
      <c r="B15" s="417"/>
      <c r="C15" s="417"/>
      <c r="D15" s="417"/>
      <c r="E15" s="417"/>
      <c r="F15" s="417"/>
      <c r="G15" s="417"/>
      <c r="H15" s="417"/>
      <c r="I15" s="417"/>
      <c r="J15" s="417"/>
      <c r="K15" s="417"/>
      <c r="L15" s="417"/>
      <c r="M15" s="417"/>
      <c r="N15" s="418"/>
      <c r="O15" s="419"/>
      <c r="P15" s="417"/>
      <c r="Q15" s="417"/>
      <c r="R15" s="417"/>
      <c r="S15" s="417"/>
      <c r="T15" s="417"/>
      <c r="U15" s="417"/>
      <c r="V15" s="417"/>
      <c r="W15" s="417"/>
      <c r="X15" s="417"/>
      <c r="Y15" s="417"/>
      <c r="Z15" s="417"/>
      <c r="AA15" s="418"/>
    </row>
    <row r="16" spans="1:28" ht="15.95" customHeight="1">
      <c r="A16" s="416"/>
      <c r="B16" s="423"/>
      <c r="C16" s="417"/>
      <c r="D16" s="862" t="s">
        <v>528</v>
      </c>
      <c r="E16" s="862"/>
      <c r="F16" s="862"/>
      <c r="G16" s="862"/>
      <c r="H16" s="862"/>
      <c r="I16" s="862"/>
      <c r="J16" s="862"/>
      <c r="K16" s="862"/>
      <c r="L16" s="862"/>
      <c r="M16" s="862"/>
      <c r="N16" s="418"/>
      <c r="O16" s="419"/>
      <c r="P16" s="423"/>
      <c r="Q16" s="417"/>
      <c r="R16" s="479" t="s">
        <v>530</v>
      </c>
      <c r="S16" s="479"/>
      <c r="T16" s="479"/>
      <c r="U16" s="479"/>
      <c r="V16" s="479"/>
      <c r="W16" s="479"/>
      <c r="X16" s="479"/>
      <c r="Y16" s="479"/>
      <c r="Z16" s="479"/>
      <c r="AA16" s="480"/>
    </row>
    <row r="17" spans="1:28" ht="15.95" customHeight="1">
      <c r="A17" s="416"/>
      <c r="B17" s="417"/>
      <c r="C17" s="417"/>
      <c r="D17" s="417"/>
      <c r="E17" s="417"/>
      <c r="F17" s="417"/>
      <c r="G17" s="417"/>
      <c r="H17" s="417"/>
      <c r="I17" s="417"/>
      <c r="J17" s="417"/>
      <c r="K17" s="417"/>
      <c r="L17" s="417"/>
      <c r="M17" s="417"/>
      <c r="N17" s="418"/>
      <c r="O17" s="419"/>
      <c r="P17" s="417"/>
      <c r="Q17" s="417"/>
      <c r="R17" s="417"/>
      <c r="S17" s="417"/>
      <c r="T17" s="417"/>
      <c r="U17" s="417"/>
      <c r="V17" s="417"/>
      <c r="W17" s="417"/>
      <c r="X17" s="417"/>
      <c r="Y17" s="417"/>
      <c r="Z17" s="417"/>
      <c r="AA17" s="418"/>
    </row>
    <row r="18" spans="1:28" ht="15.95" customHeight="1">
      <c r="A18" s="416"/>
      <c r="B18" s="428"/>
      <c r="C18" s="417"/>
      <c r="D18" s="862" t="s">
        <v>583</v>
      </c>
      <c r="E18" s="862"/>
      <c r="F18" s="862"/>
      <c r="G18" s="862"/>
      <c r="H18" s="862"/>
      <c r="I18" s="862"/>
      <c r="J18" s="862"/>
      <c r="K18" s="862"/>
      <c r="L18" s="862"/>
      <c r="M18" s="862"/>
      <c r="N18" s="418"/>
      <c r="O18" s="419"/>
      <c r="P18" s="423"/>
      <c r="Q18" s="417"/>
      <c r="R18" s="479" t="s">
        <v>562</v>
      </c>
      <c r="S18" s="479"/>
      <c r="T18" s="479"/>
      <c r="U18" s="479"/>
      <c r="V18" s="479"/>
      <c r="W18" s="479"/>
      <c r="X18" s="479"/>
      <c r="Y18" s="479"/>
      <c r="Z18" s="479"/>
      <c r="AA18" s="480"/>
    </row>
    <row r="19" spans="1:28" ht="15.95" customHeight="1">
      <c r="A19" s="419"/>
      <c r="B19" s="429"/>
      <c r="C19" s="417"/>
      <c r="D19" s="413"/>
      <c r="E19" s="413"/>
      <c r="F19" s="413"/>
      <c r="G19" s="413"/>
      <c r="H19" s="413"/>
      <c r="I19" s="413"/>
      <c r="J19" s="413"/>
      <c r="K19" s="413"/>
      <c r="L19" s="413"/>
      <c r="M19" s="413"/>
      <c r="N19" s="418"/>
      <c r="O19" s="419"/>
      <c r="P19" s="417"/>
      <c r="Q19" s="417"/>
      <c r="R19" s="417"/>
      <c r="S19" s="417"/>
      <c r="T19" s="417"/>
      <c r="U19" s="417"/>
      <c r="V19" s="417"/>
      <c r="W19" s="417"/>
      <c r="X19" s="417"/>
      <c r="Y19" s="417"/>
      <c r="Z19" s="417"/>
      <c r="AA19" s="418"/>
    </row>
    <row r="20" spans="1:28" ht="15.95" customHeight="1">
      <c r="A20" s="416"/>
      <c r="B20" s="423"/>
      <c r="C20" s="417"/>
      <c r="D20" s="417" t="s">
        <v>525</v>
      </c>
      <c r="E20" s="417"/>
      <c r="F20" s="417"/>
      <c r="G20" s="417"/>
      <c r="H20" s="417"/>
      <c r="I20" s="417"/>
      <c r="J20" s="417"/>
      <c r="K20" s="417"/>
      <c r="L20" s="417"/>
      <c r="M20" s="417"/>
      <c r="N20" s="418"/>
      <c r="O20" s="419"/>
      <c r="P20" s="423"/>
      <c r="Q20" s="417"/>
      <c r="R20" s="459" t="s">
        <v>584</v>
      </c>
      <c r="S20" s="459"/>
      <c r="T20" s="459"/>
      <c r="U20" s="459"/>
      <c r="V20" s="459"/>
      <c r="W20" s="459"/>
      <c r="X20" s="459"/>
      <c r="Y20" s="459"/>
      <c r="Z20" s="459"/>
      <c r="AA20" s="460"/>
    </row>
    <row r="21" spans="1:28" ht="15.95" customHeight="1">
      <c r="A21" s="416"/>
      <c r="B21" s="417"/>
      <c r="C21" s="417"/>
      <c r="D21" s="417"/>
      <c r="E21" s="417"/>
      <c r="F21" s="417"/>
      <c r="G21" s="417"/>
      <c r="H21" s="417"/>
      <c r="I21" s="417"/>
      <c r="J21" s="417"/>
      <c r="K21" s="417"/>
      <c r="L21" s="417"/>
      <c r="M21" s="417"/>
      <c r="N21" s="418"/>
      <c r="O21" s="419"/>
      <c r="P21" s="417"/>
      <c r="Q21" s="417"/>
      <c r="R21" s="479"/>
      <c r="S21" s="479"/>
      <c r="T21" s="479"/>
      <c r="U21" s="479"/>
      <c r="V21" s="479"/>
      <c r="W21" s="479"/>
      <c r="X21" s="479"/>
      <c r="Y21" s="479"/>
      <c r="Z21" s="479"/>
      <c r="AA21" s="480"/>
    </row>
    <row r="22" spans="1:28" ht="15.95" customHeight="1">
      <c r="A22" s="416"/>
      <c r="B22" s="423"/>
      <c r="C22" s="417"/>
      <c r="D22" s="862" t="s">
        <v>586</v>
      </c>
      <c r="E22" s="862"/>
      <c r="F22" s="862"/>
      <c r="G22" s="862"/>
      <c r="H22" s="862"/>
      <c r="I22" s="862"/>
      <c r="J22" s="862"/>
      <c r="K22" s="862"/>
      <c r="L22" s="862"/>
      <c r="M22" s="862"/>
      <c r="N22" s="418"/>
      <c r="O22" s="419"/>
      <c r="P22" s="423"/>
      <c r="Q22" s="417"/>
      <c r="R22" s="479" t="s">
        <v>585</v>
      </c>
      <c r="S22" s="479"/>
      <c r="T22" s="479"/>
      <c r="U22" s="479"/>
      <c r="V22" s="479"/>
      <c r="W22" s="479"/>
      <c r="X22" s="479"/>
      <c r="Y22" s="479"/>
      <c r="Z22" s="479"/>
      <c r="AA22" s="480"/>
    </row>
    <row r="23" spans="1:28" ht="15.95" customHeight="1" thickBot="1">
      <c r="A23" s="420"/>
      <c r="B23" s="421"/>
      <c r="C23" s="421"/>
      <c r="D23" s="421"/>
      <c r="E23" s="421"/>
      <c r="F23" s="421"/>
      <c r="G23" s="421"/>
      <c r="H23" s="421"/>
      <c r="I23" s="421"/>
      <c r="J23" s="421"/>
      <c r="K23" s="421"/>
      <c r="L23" s="421"/>
      <c r="M23" s="421"/>
      <c r="N23" s="422"/>
      <c r="O23" s="420"/>
      <c r="P23" s="421"/>
      <c r="Q23" s="421"/>
      <c r="R23" s="421"/>
      <c r="S23" s="421"/>
      <c r="T23" s="421"/>
      <c r="U23" s="421"/>
      <c r="V23" s="421"/>
      <c r="W23" s="421"/>
      <c r="X23" s="421"/>
      <c r="Y23" s="421"/>
      <c r="Z23" s="421"/>
      <c r="AA23" s="422"/>
    </row>
    <row r="24" spans="1:28" ht="30" customHeight="1">
      <c r="A24" s="958" t="s">
        <v>390</v>
      </c>
      <c r="B24" s="959"/>
      <c r="C24" s="964" t="s">
        <v>415</v>
      </c>
      <c r="D24" s="964"/>
      <c r="E24" s="964"/>
      <c r="F24" s="959" t="s">
        <v>421</v>
      </c>
      <c r="G24" s="959"/>
      <c r="H24" s="959"/>
      <c r="I24" s="943" t="s">
        <v>412</v>
      </c>
      <c r="J24" s="944"/>
      <c r="K24" s="943" t="s">
        <v>420</v>
      </c>
      <c r="L24" s="944"/>
      <c r="M24" s="872" t="s">
        <v>422</v>
      </c>
      <c r="N24" s="873"/>
      <c r="O24" s="873"/>
      <c r="P24" s="873"/>
      <c r="Q24" s="873"/>
      <c r="R24" s="874"/>
      <c r="S24" s="872"/>
      <c r="T24" s="873"/>
      <c r="U24" s="873"/>
      <c r="V24" s="873"/>
      <c r="W24" s="873"/>
      <c r="X24" s="874"/>
      <c r="Y24" s="949" t="s">
        <v>416</v>
      </c>
      <c r="Z24" s="949"/>
      <c r="AA24" s="950"/>
      <c r="AB24" s="289"/>
    </row>
    <row r="25" spans="1:28" ht="30" customHeight="1">
      <c r="A25" s="960"/>
      <c r="B25" s="961"/>
      <c r="C25" s="965"/>
      <c r="D25" s="965"/>
      <c r="E25" s="965"/>
      <c r="F25" s="961"/>
      <c r="G25" s="961"/>
      <c r="H25" s="961"/>
      <c r="I25" s="945"/>
      <c r="J25" s="946"/>
      <c r="K25" s="945"/>
      <c r="L25" s="946"/>
      <c r="M25" s="955"/>
      <c r="N25" s="956"/>
      <c r="O25" s="956"/>
      <c r="P25" s="956"/>
      <c r="Q25" s="956"/>
      <c r="R25" s="957"/>
      <c r="S25" s="955"/>
      <c r="T25" s="956"/>
      <c r="U25" s="956"/>
      <c r="V25" s="956"/>
      <c r="W25" s="956"/>
      <c r="X25" s="957"/>
      <c r="Y25" s="951"/>
      <c r="Z25" s="951"/>
      <c r="AA25" s="952"/>
      <c r="AB25" s="289"/>
    </row>
    <row r="26" spans="1:28" ht="30" customHeight="1" thickBot="1">
      <c r="A26" s="962"/>
      <c r="B26" s="963"/>
      <c r="C26" s="966"/>
      <c r="D26" s="966"/>
      <c r="E26" s="966"/>
      <c r="F26" s="963"/>
      <c r="G26" s="963"/>
      <c r="H26" s="963"/>
      <c r="I26" s="947"/>
      <c r="J26" s="948"/>
      <c r="K26" s="947"/>
      <c r="L26" s="948"/>
      <c r="M26" s="875"/>
      <c r="N26" s="876"/>
      <c r="O26" s="876"/>
      <c r="P26" s="876"/>
      <c r="Q26" s="876"/>
      <c r="R26" s="877"/>
      <c r="S26" s="875"/>
      <c r="T26" s="876"/>
      <c r="U26" s="876"/>
      <c r="V26" s="876"/>
      <c r="W26" s="876"/>
      <c r="X26" s="877"/>
      <c r="Y26" s="953"/>
      <c r="Z26" s="953"/>
      <c r="AA26" s="954"/>
      <c r="AB26" s="289"/>
    </row>
    <row r="27" spans="1:28" ht="30" customHeight="1" thickBot="1">
      <c r="A27" s="894" t="s">
        <v>44</v>
      </c>
      <c r="B27" s="895"/>
      <c r="C27" s="915" t="s">
        <v>411</v>
      </c>
      <c r="D27" s="916"/>
      <c r="E27" s="895"/>
      <c r="F27" s="899">
        <v>934</v>
      </c>
      <c r="G27" s="900"/>
      <c r="H27" s="901"/>
      <c r="I27" s="318"/>
      <c r="J27" s="319"/>
      <c r="K27" s="906" t="s">
        <v>424</v>
      </c>
      <c r="L27" s="909"/>
      <c r="M27" s="319"/>
      <c r="N27" s="319"/>
      <c r="O27" s="319"/>
      <c r="P27" s="319"/>
      <c r="Q27" s="319"/>
      <c r="R27" s="319"/>
      <c r="S27" s="319"/>
      <c r="T27" s="319"/>
      <c r="U27" s="319"/>
      <c r="V27" s="319"/>
      <c r="W27" s="319"/>
      <c r="X27" s="319"/>
      <c r="Y27" s="319"/>
      <c r="Z27" s="319"/>
      <c r="AA27" s="320"/>
      <c r="AB27" s="289"/>
    </row>
    <row r="28" spans="1:28" ht="30" customHeight="1">
      <c r="A28" s="894">
        <v>1</v>
      </c>
      <c r="B28" s="895"/>
      <c r="C28" s="898" t="s">
        <v>409</v>
      </c>
      <c r="D28" s="898"/>
      <c r="E28" s="898"/>
      <c r="F28" s="899">
        <v>165</v>
      </c>
      <c r="G28" s="900"/>
      <c r="H28" s="901"/>
      <c r="I28" s="890" t="s">
        <v>425</v>
      </c>
      <c r="J28" s="891"/>
      <c r="K28" s="910" t="s">
        <v>426</v>
      </c>
      <c r="L28" s="911"/>
      <c r="M28" s="902" t="s">
        <v>413</v>
      </c>
      <c r="N28" s="903"/>
      <c r="O28" s="903"/>
      <c r="P28" s="902">
        <f>F30+F32</f>
        <v>328</v>
      </c>
      <c r="Q28" s="903"/>
      <c r="R28" s="903"/>
      <c r="S28" s="884"/>
      <c r="T28" s="885"/>
      <c r="U28" s="885"/>
      <c r="V28" s="885"/>
      <c r="W28" s="885"/>
      <c r="X28" s="886"/>
      <c r="Y28" s="878">
        <f>F28+F29</f>
        <v>301</v>
      </c>
      <c r="Z28" s="879"/>
      <c r="AA28" s="880"/>
      <c r="AB28" s="289"/>
    </row>
    <row r="29" spans="1:28" ht="30" customHeight="1" thickBot="1">
      <c r="A29" s="896"/>
      <c r="B29" s="897"/>
      <c r="C29" s="867" t="s">
        <v>410</v>
      </c>
      <c r="D29" s="868"/>
      <c r="E29" s="869"/>
      <c r="F29" s="912">
        <v>136</v>
      </c>
      <c r="G29" s="913"/>
      <c r="H29" s="914"/>
      <c r="I29" s="892"/>
      <c r="J29" s="893"/>
      <c r="K29" s="892"/>
      <c r="L29" s="893"/>
      <c r="M29" s="871" t="s">
        <v>414</v>
      </c>
      <c r="N29" s="871"/>
      <c r="O29" s="871"/>
      <c r="P29" s="917">
        <f>F31+F33</f>
        <v>305</v>
      </c>
      <c r="Q29" s="918"/>
      <c r="R29" s="918"/>
      <c r="S29" s="887"/>
      <c r="T29" s="888"/>
      <c r="U29" s="888"/>
      <c r="V29" s="888"/>
      <c r="W29" s="888"/>
      <c r="X29" s="889"/>
      <c r="Y29" s="881"/>
      <c r="Z29" s="882"/>
      <c r="AA29" s="883"/>
      <c r="AB29" s="289"/>
    </row>
    <row r="30" spans="1:28" ht="30" customHeight="1">
      <c r="A30" s="894">
        <v>2</v>
      </c>
      <c r="B30" s="895"/>
      <c r="C30" s="927" t="s">
        <v>407</v>
      </c>
      <c r="D30" s="928"/>
      <c r="E30" s="929"/>
      <c r="F30" s="899">
        <v>177</v>
      </c>
      <c r="G30" s="900"/>
      <c r="H30" s="901"/>
      <c r="I30" s="890" t="s">
        <v>427</v>
      </c>
      <c r="J30" s="891"/>
      <c r="K30" s="890" t="s">
        <v>428</v>
      </c>
      <c r="L30" s="891"/>
      <c r="M30" s="902" t="s">
        <v>413</v>
      </c>
      <c r="N30" s="903"/>
      <c r="O30" s="903"/>
      <c r="P30" s="902">
        <f>P28-F30</f>
        <v>151</v>
      </c>
      <c r="Q30" s="903"/>
      <c r="R30" s="903"/>
      <c r="S30" s="884"/>
      <c r="T30" s="885"/>
      <c r="U30" s="885"/>
      <c r="V30" s="885"/>
      <c r="W30" s="885"/>
      <c r="X30" s="886"/>
      <c r="Y30" s="878">
        <f>Y28+F30+F31</f>
        <v>634</v>
      </c>
      <c r="Z30" s="879"/>
      <c r="AA30" s="880"/>
      <c r="AB30" s="289"/>
    </row>
    <row r="31" spans="1:28" ht="30" customHeight="1" thickBot="1">
      <c r="A31" s="896"/>
      <c r="B31" s="897"/>
      <c r="C31" s="867" t="s">
        <v>408</v>
      </c>
      <c r="D31" s="868"/>
      <c r="E31" s="869"/>
      <c r="F31" s="912">
        <v>156</v>
      </c>
      <c r="G31" s="913"/>
      <c r="H31" s="914"/>
      <c r="I31" s="892"/>
      <c r="J31" s="893"/>
      <c r="K31" s="892"/>
      <c r="L31" s="893"/>
      <c r="M31" s="871" t="s">
        <v>414</v>
      </c>
      <c r="N31" s="871"/>
      <c r="O31" s="871"/>
      <c r="P31" s="871">
        <f>P29-F31</f>
        <v>149</v>
      </c>
      <c r="Q31" s="871"/>
      <c r="R31" s="871"/>
      <c r="S31" s="887"/>
      <c r="T31" s="888"/>
      <c r="U31" s="888"/>
      <c r="V31" s="888"/>
      <c r="W31" s="888"/>
      <c r="X31" s="889"/>
      <c r="Y31" s="881"/>
      <c r="Z31" s="882"/>
      <c r="AA31" s="883"/>
      <c r="AB31" s="289"/>
    </row>
    <row r="32" spans="1:28" ht="30" customHeight="1">
      <c r="A32" s="894">
        <v>3</v>
      </c>
      <c r="B32" s="895"/>
      <c r="C32" s="898" t="s">
        <v>405</v>
      </c>
      <c r="D32" s="898"/>
      <c r="E32" s="898"/>
      <c r="F32" s="899">
        <v>151</v>
      </c>
      <c r="G32" s="900"/>
      <c r="H32" s="901"/>
      <c r="I32" s="890" t="s">
        <v>429</v>
      </c>
      <c r="J32" s="891"/>
      <c r="K32" s="890" t="s">
        <v>430</v>
      </c>
      <c r="L32" s="891"/>
      <c r="M32" s="902" t="s">
        <v>413</v>
      </c>
      <c r="N32" s="903"/>
      <c r="O32" s="903"/>
      <c r="P32" s="872">
        <v>0</v>
      </c>
      <c r="Q32" s="873"/>
      <c r="R32" s="874"/>
      <c r="S32" s="884"/>
      <c r="T32" s="885"/>
      <c r="U32" s="885"/>
      <c r="V32" s="885"/>
      <c r="W32" s="885"/>
      <c r="X32" s="886"/>
      <c r="Y32" s="878">
        <f>Y30+F32+F33</f>
        <v>934</v>
      </c>
      <c r="Z32" s="879"/>
      <c r="AA32" s="880"/>
      <c r="AB32" s="289"/>
    </row>
    <row r="33" spans="1:28" ht="30" customHeight="1" thickBot="1">
      <c r="A33" s="896"/>
      <c r="B33" s="897"/>
      <c r="C33" s="867" t="s">
        <v>406</v>
      </c>
      <c r="D33" s="868"/>
      <c r="E33" s="869"/>
      <c r="F33" s="870">
        <v>149</v>
      </c>
      <c r="G33" s="870"/>
      <c r="H33" s="870"/>
      <c r="I33" s="892"/>
      <c r="J33" s="893"/>
      <c r="K33" s="892"/>
      <c r="L33" s="893"/>
      <c r="M33" s="871" t="s">
        <v>414</v>
      </c>
      <c r="N33" s="871"/>
      <c r="O33" s="871"/>
      <c r="P33" s="875"/>
      <c r="Q33" s="876"/>
      <c r="R33" s="877"/>
      <c r="S33" s="887"/>
      <c r="T33" s="888"/>
      <c r="U33" s="888"/>
      <c r="V33" s="888"/>
      <c r="W33" s="888"/>
      <c r="X33" s="889"/>
      <c r="Y33" s="881"/>
      <c r="Z33" s="882"/>
      <c r="AA33" s="883"/>
      <c r="AB33" s="289"/>
    </row>
    <row r="34" spans="1:28" ht="30" customHeight="1" thickBot="1">
      <c r="A34" s="904" t="s">
        <v>417</v>
      </c>
      <c r="B34" s="905"/>
      <c r="C34" s="922"/>
      <c r="D34" s="923"/>
      <c r="E34" s="923"/>
      <c r="F34" s="923"/>
      <c r="G34" s="923"/>
      <c r="H34" s="923"/>
      <c r="I34" s="923"/>
      <c r="J34" s="923"/>
      <c r="K34" s="923"/>
      <c r="L34" s="923"/>
      <c r="M34" s="923"/>
      <c r="N34" s="923"/>
      <c r="O34" s="923"/>
      <c r="P34" s="923"/>
      <c r="Q34" s="923"/>
      <c r="R34" s="923"/>
      <c r="S34" s="923"/>
      <c r="T34" s="923"/>
      <c r="U34" s="923"/>
      <c r="V34" s="923"/>
      <c r="W34" s="923"/>
      <c r="X34" s="924"/>
      <c r="Y34" s="881">
        <f>Y32</f>
        <v>934</v>
      </c>
      <c r="Z34" s="882"/>
      <c r="AA34" s="883"/>
      <c r="AB34" s="289"/>
    </row>
    <row r="35" spans="1:28" ht="47.25" customHeight="1" thickBot="1">
      <c r="A35" s="925" t="s">
        <v>419</v>
      </c>
      <c r="B35" s="926"/>
      <c r="C35" s="340"/>
      <c r="D35" s="341"/>
      <c r="E35" s="341"/>
      <c r="F35" s="341"/>
      <c r="G35" s="341"/>
      <c r="H35" s="341"/>
      <c r="I35" s="341"/>
      <c r="J35" s="341"/>
      <c r="K35" s="341"/>
      <c r="L35" s="341"/>
      <c r="M35" s="341"/>
      <c r="N35" s="341"/>
      <c r="O35" s="341"/>
      <c r="P35" s="341"/>
      <c r="Q35" s="341"/>
      <c r="R35" s="341"/>
      <c r="S35" s="341"/>
      <c r="T35" s="341"/>
      <c r="U35" s="341"/>
      <c r="V35" s="341"/>
      <c r="W35" s="341"/>
      <c r="X35" s="342"/>
      <c r="Y35" s="906" t="s">
        <v>423</v>
      </c>
      <c r="Z35" s="907"/>
      <c r="AA35" s="908"/>
      <c r="AB35" s="289"/>
    </row>
    <row r="36" spans="1:28" ht="30" customHeight="1" thickBot="1">
      <c r="A36" s="920" t="s">
        <v>418</v>
      </c>
      <c r="B36" s="921"/>
      <c r="C36" s="922"/>
      <c r="D36" s="923"/>
      <c r="E36" s="923"/>
      <c r="F36" s="923"/>
      <c r="G36" s="923"/>
      <c r="H36" s="923"/>
      <c r="I36" s="923"/>
      <c r="J36" s="923"/>
      <c r="K36" s="923"/>
      <c r="L36" s="923"/>
      <c r="M36" s="923"/>
      <c r="N36" s="923"/>
      <c r="O36" s="923"/>
      <c r="P36" s="923"/>
      <c r="Q36" s="923"/>
      <c r="R36" s="923"/>
      <c r="S36" s="923"/>
      <c r="T36" s="923"/>
      <c r="U36" s="923"/>
      <c r="V36" s="923"/>
      <c r="W36" s="923"/>
      <c r="X36" s="924"/>
      <c r="Y36" s="881" t="s">
        <v>424</v>
      </c>
      <c r="Z36" s="882"/>
      <c r="AA36" s="883"/>
      <c r="AB36" s="289"/>
    </row>
    <row r="37" spans="1:28" ht="30" customHeight="1">
      <c r="A37" s="858" t="s">
        <v>431</v>
      </c>
      <c r="B37" s="859"/>
      <c r="C37" s="859"/>
      <c r="D37" s="859"/>
      <c r="E37" s="859"/>
      <c r="F37" s="859"/>
      <c r="G37" s="859"/>
      <c r="H37" s="859"/>
      <c r="I37" s="859"/>
      <c r="J37" s="859"/>
      <c r="K37" s="859"/>
      <c r="L37" s="859"/>
      <c r="M37" s="859"/>
      <c r="N37" s="859"/>
      <c r="O37" s="859"/>
      <c r="P37" s="859"/>
      <c r="Q37" s="859"/>
      <c r="R37" s="859"/>
      <c r="S37" s="859"/>
      <c r="T37" s="859"/>
      <c r="U37" s="859"/>
      <c r="V37" s="859"/>
      <c r="W37" s="859"/>
      <c r="X37" s="859"/>
      <c r="Y37" s="859"/>
      <c r="Z37" s="859"/>
      <c r="AA37" s="860"/>
    </row>
    <row r="38" spans="1:28" ht="30" customHeight="1">
      <c r="A38" s="861"/>
      <c r="B38" s="862"/>
      <c r="C38" s="862"/>
      <c r="D38" s="862"/>
      <c r="E38" s="862"/>
      <c r="F38" s="862"/>
      <c r="G38" s="862"/>
      <c r="H38" s="862"/>
      <c r="I38" s="862"/>
      <c r="J38" s="862"/>
      <c r="K38" s="862"/>
      <c r="L38" s="862"/>
      <c r="M38" s="862"/>
      <c r="N38" s="862"/>
      <c r="O38" s="862"/>
      <c r="P38" s="862"/>
      <c r="Q38" s="862"/>
      <c r="R38" s="862"/>
      <c r="S38" s="862"/>
      <c r="T38" s="862"/>
      <c r="U38" s="862"/>
      <c r="V38" s="862"/>
      <c r="W38" s="862"/>
      <c r="X38" s="862"/>
      <c r="Y38" s="862"/>
      <c r="Z38" s="862"/>
      <c r="AA38" s="863"/>
    </row>
    <row r="39" spans="1:28" ht="30" customHeight="1">
      <c r="A39" s="861"/>
      <c r="B39" s="862"/>
      <c r="C39" s="862"/>
      <c r="D39" s="862"/>
      <c r="E39" s="862"/>
      <c r="F39" s="862"/>
      <c r="G39" s="862"/>
      <c r="H39" s="862"/>
      <c r="I39" s="862"/>
      <c r="J39" s="862"/>
      <c r="K39" s="862"/>
      <c r="L39" s="862"/>
      <c r="M39" s="862"/>
      <c r="N39" s="862"/>
      <c r="O39" s="862"/>
      <c r="P39" s="862"/>
      <c r="Q39" s="862"/>
      <c r="R39" s="862"/>
      <c r="S39" s="862"/>
      <c r="T39" s="862"/>
      <c r="U39" s="862"/>
      <c r="V39" s="862"/>
      <c r="W39" s="862"/>
      <c r="X39" s="862"/>
      <c r="Y39" s="862"/>
      <c r="Z39" s="862"/>
      <c r="AA39" s="863"/>
    </row>
    <row r="40" spans="1:28" ht="30" customHeight="1">
      <c r="A40" s="861"/>
      <c r="B40" s="862"/>
      <c r="C40" s="862"/>
      <c r="D40" s="862"/>
      <c r="E40" s="862"/>
      <c r="F40" s="862"/>
      <c r="G40" s="862"/>
      <c r="H40" s="862"/>
      <c r="I40" s="862"/>
      <c r="J40" s="862"/>
      <c r="K40" s="862"/>
      <c r="L40" s="862"/>
      <c r="M40" s="862"/>
      <c r="N40" s="862"/>
      <c r="O40" s="862"/>
      <c r="P40" s="862"/>
      <c r="Q40" s="862"/>
      <c r="R40" s="862"/>
      <c r="S40" s="862"/>
      <c r="T40" s="862"/>
      <c r="U40" s="862"/>
      <c r="V40" s="862"/>
      <c r="W40" s="862"/>
      <c r="X40" s="862"/>
      <c r="Y40" s="862"/>
      <c r="Z40" s="862"/>
      <c r="AA40" s="863"/>
    </row>
    <row r="41" spans="1:28" ht="30" customHeight="1">
      <c r="A41" s="861"/>
      <c r="B41" s="862"/>
      <c r="C41" s="862"/>
      <c r="D41" s="862"/>
      <c r="E41" s="862"/>
      <c r="F41" s="862"/>
      <c r="G41" s="862"/>
      <c r="H41" s="862"/>
      <c r="I41" s="862"/>
      <c r="J41" s="862"/>
      <c r="K41" s="862"/>
      <c r="L41" s="862"/>
      <c r="M41" s="862"/>
      <c r="N41" s="862"/>
      <c r="O41" s="862"/>
      <c r="P41" s="862"/>
      <c r="Q41" s="862"/>
      <c r="R41" s="862"/>
      <c r="S41" s="862"/>
      <c r="T41" s="862"/>
      <c r="U41" s="862"/>
      <c r="V41" s="862"/>
      <c r="W41" s="862"/>
      <c r="X41" s="862"/>
      <c r="Y41" s="862"/>
      <c r="Z41" s="862"/>
      <c r="AA41" s="863"/>
    </row>
    <row r="42" spans="1:28" ht="30" customHeight="1">
      <c r="A42" s="861"/>
      <c r="B42" s="862"/>
      <c r="C42" s="862"/>
      <c r="D42" s="862"/>
      <c r="E42" s="862"/>
      <c r="F42" s="862"/>
      <c r="G42" s="862"/>
      <c r="H42" s="862"/>
      <c r="I42" s="862"/>
      <c r="J42" s="862"/>
      <c r="K42" s="862"/>
      <c r="L42" s="862"/>
      <c r="M42" s="862"/>
      <c r="N42" s="862"/>
      <c r="O42" s="862"/>
      <c r="P42" s="862"/>
      <c r="Q42" s="862"/>
      <c r="R42" s="862"/>
      <c r="S42" s="862"/>
      <c r="T42" s="862"/>
      <c r="U42" s="862"/>
      <c r="V42" s="862"/>
      <c r="W42" s="862"/>
      <c r="X42" s="862"/>
      <c r="Y42" s="862"/>
      <c r="Z42" s="862"/>
      <c r="AA42" s="863"/>
    </row>
    <row r="43" spans="1:28" ht="30" customHeight="1">
      <c r="A43" s="861"/>
      <c r="B43" s="862"/>
      <c r="C43" s="862"/>
      <c r="D43" s="862"/>
      <c r="E43" s="862"/>
      <c r="F43" s="862"/>
      <c r="G43" s="862"/>
      <c r="H43" s="862"/>
      <c r="I43" s="862"/>
      <c r="J43" s="862"/>
      <c r="K43" s="862"/>
      <c r="L43" s="862"/>
      <c r="M43" s="862"/>
      <c r="N43" s="862"/>
      <c r="O43" s="862"/>
      <c r="P43" s="862"/>
      <c r="Q43" s="862"/>
      <c r="R43" s="862"/>
      <c r="S43" s="862"/>
      <c r="T43" s="862"/>
      <c r="U43" s="862"/>
      <c r="V43" s="862"/>
      <c r="W43" s="862"/>
      <c r="X43" s="862"/>
      <c r="Y43" s="862"/>
      <c r="Z43" s="862"/>
      <c r="AA43" s="863"/>
    </row>
    <row r="44" spans="1:28" ht="30" customHeight="1" thickBot="1">
      <c r="A44" s="864"/>
      <c r="B44" s="865"/>
      <c r="C44" s="865"/>
      <c r="D44" s="865"/>
      <c r="E44" s="865"/>
      <c r="F44" s="865"/>
      <c r="G44" s="865"/>
      <c r="H44" s="865"/>
      <c r="I44" s="865"/>
      <c r="J44" s="865"/>
      <c r="K44" s="865"/>
      <c r="L44" s="865"/>
      <c r="M44" s="865"/>
      <c r="N44" s="865"/>
      <c r="O44" s="865"/>
      <c r="P44" s="865"/>
      <c r="Q44" s="865"/>
      <c r="R44" s="865"/>
      <c r="S44" s="865"/>
      <c r="T44" s="865"/>
      <c r="U44" s="865"/>
      <c r="V44" s="865"/>
      <c r="W44" s="865"/>
      <c r="X44" s="865"/>
      <c r="Y44" s="865"/>
      <c r="Z44" s="865"/>
      <c r="AA44" s="866"/>
    </row>
    <row r="45" spans="1:28" ht="20.100000000000001" customHeight="1">
      <c r="A45" s="344"/>
      <c r="B45" s="413"/>
      <c r="C45" s="413"/>
      <c r="D45" s="413"/>
      <c r="E45" s="413"/>
      <c r="F45" s="413"/>
      <c r="G45" s="413"/>
      <c r="O45" s="413"/>
      <c r="P45" s="413"/>
      <c r="Q45" s="413"/>
      <c r="R45" s="413"/>
      <c r="S45" s="413"/>
      <c r="T45" s="413"/>
      <c r="U45" s="413"/>
      <c r="V45" s="413"/>
      <c r="W45" s="413"/>
      <c r="X45" s="413"/>
      <c r="Y45" s="413"/>
      <c r="Z45" s="413"/>
      <c r="AA45" s="345"/>
    </row>
    <row r="46" spans="1:28" ht="20.100000000000001" customHeight="1">
      <c r="A46" s="344"/>
      <c r="O46" s="413"/>
      <c r="P46" s="413"/>
      <c r="Q46" s="413"/>
      <c r="R46" s="413"/>
      <c r="S46" s="413"/>
      <c r="Y46" s="413"/>
      <c r="Z46" s="413"/>
      <c r="AA46" s="345"/>
    </row>
    <row r="47" spans="1:28" ht="20.100000000000001" customHeight="1">
      <c r="A47" s="344"/>
      <c r="I47" s="413"/>
      <c r="J47" s="413"/>
      <c r="K47" s="413"/>
      <c r="L47" s="413"/>
      <c r="M47" s="413"/>
      <c r="N47" s="413"/>
      <c r="O47" s="413"/>
      <c r="P47" s="413"/>
      <c r="Q47" s="413"/>
      <c r="R47" s="413"/>
      <c r="S47" s="413"/>
      <c r="Y47" s="413"/>
      <c r="Z47" s="413"/>
      <c r="AA47" s="345"/>
    </row>
    <row r="48" spans="1:28" ht="20.100000000000001" customHeight="1">
      <c r="A48" s="287"/>
      <c r="C48" s="452"/>
      <c r="D48" s="452"/>
      <c r="E48" s="452"/>
      <c r="F48" s="452"/>
      <c r="G48" s="452"/>
      <c r="H48" s="452"/>
      <c r="I48" s="452"/>
      <c r="O48" s="451"/>
      <c r="P48" s="451"/>
      <c r="Q48" s="451"/>
      <c r="R48" s="451"/>
      <c r="S48" s="451"/>
      <c r="U48" s="453"/>
      <c r="V48" s="453"/>
      <c r="W48" s="453"/>
      <c r="X48" s="453"/>
      <c r="Y48" s="453"/>
      <c r="Z48" s="451"/>
      <c r="AA48" s="291"/>
    </row>
    <row r="49" spans="1:27" ht="20.100000000000001" customHeight="1">
      <c r="A49" s="290"/>
      <c r="C49" s="919" t="s">
        <v>86</v>
      </c>
      <c r="D49" s="919"/>
      <c r="E49" s="919"/>
      <c r="F49" s="919"/>
      <c r="G49" s="919"/>
      <c r="H49" s="919"/>
      <c r="I49" s="919"/>
      <c r="O49" s="451"/>
      <c r="P49" s="451"/>
      <c r="Q49" s="451"/>
      <c r="R49" s="451"/>
      <c r="S49" s="451"/>
      <c r="U49" s="919" t="s">
        <v>87</v>
      </c>
      <c r="V49" s="919"/>
      <c r="W49" s="919"/>
      <c r="X49" s="919"/>
      <c r="Y49" s="919"/>
      <c r="Z49" s="451"/>
      <c r="AA49" s="291"/>
    </row>
    <row r="50" spans="1:27" ht="20.100000000000001" customHeight="1">
      <c r="A50" s="290"/>
      <c r="B50" s="451"/>
      <c r="C50" s="451"/>
      <c r="D50" s="451"/>
      <c r="E50" s="451"/>
      <c r="F50" s="451"/>
      <c r="G50" s="451"/>
      <c r="H50" s="451"/>
      <c r="I50" s="451"/>
      <c r="J50" s="451"/>
      <c r="K50" s="451"/>
      <c r="L50" s="451"/>
      <c r="M50" s="451"/>
      <c r="N50" s="451"/>
      <c r="O50" s="451"/>
      <c r="P50" s="451"/>
      <c r="Q50" s="451"/>
      <c r="R50" s="451"/>
      <c r="S50" s="451"/>
      <c r="T50" s="451"/>
      <c r="U50" s="451"/>
      <c r="V50" s="451"/>
      <c r="W50" s="451"/>
      <c r="X50" s="451"/>
      <c r="Y50" s="451"/>
      <c r="Z50" s="451"/>
      <c r="AA50" s="291"/>
    </row>
    <row r="51" spans="1:27" ht="20.100000000000001" customHeight="1" thickBot="1">
      <c r="A51" s="184" t="s">
        <v>88</v>
      </c>
      <c r="B51" s="47"/>
      <c r="C51" s="47"/>
      <c r="D51" s="47"/>
      <c r="E51" s="47"/>
      <c r="F51" s="47"/>
      <c r="G51" s="47"/>
      <c r="H51" s="47"/>
      <c r="I51" s="47"/>
      <c r="J51" s="47"/>
      <c r="K51" s="47"/>
      <c r="L51" s="47"/>
      <c r="M51" s="47"/>
      <c r="N51" s="47"/>
      <c r="O51" s="47"/>
      <c r="P51" s="47"/>
      <c r="Q51" s="47"/>
      <c r="R51" s="47"/>
      <c r="S51" s="47"/>
      <c r="T51" s="47"/>
      <c r="U51" s="47"/>
      <c r="V51" s="47"/>
      <c r="W51" s="47"/>
      <c r="X51" s="47"/>
      <c r="Y51" s="47"/>
      <c r="Z51" s="47"/>
      <c r="AA51" s="288"/>
    </row>
    <row r="52" spans="1:27" ht="18" customHeight="1"/>
    <row r="53" spans="1:27" ht="18" customHeight="1"/>
    <row r="54" spans="1:27" ht="18" customHeight="1"/>
    <row r="55" spans="1:27" ht="18" customHeight="1"/>
    <row r="56" spans="1:27" ht="18" customHeight="1"/>
    <row r="57" spans="1:27" ht="18" customHeight="1"/>
    <row r="58" spans="1:27" ht="18" customHeight="1"/>
    <row r="59" spans="1:27" ht="18" customHeight="1"/>
    <row r="60" spans="1:27" ht="18" customHeight="1"/>
    <row r="61" spans="1:27" ht="18" customHeight="1"/>
    <row r="62" spans="1:27" ht="18" customHeight="1"/>
    <row r="63" spans="1:27" ht="18" customHeight="1"/>
    <row r="64" spans="1:27"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2.75" customHeight="1"/>
  </sheetData>
  <mergeCells count="89">
    <mergeCell ref="S30:X30"/>
    <mergeCell ref="S31:X31"/>
    <mergeCell ref="A24:B26"/>
    <mergeCell ref="C24:E26"/>
    <mergeCell ref="A6:B6"/>
    <mergeCell ref="C6:H6"/>
    <mergeCell ref="I6:L6"/>
    <mergeCell ref="F24:H26"/>
    <mergeCell ref="D12:M12"/>
    <mergeCell ref="D14:M14"/>
    <mergeCell ref="D9:M9"/>
    <mergeCell ref="D11:M11"/>
    <mergeCell ref="D16:M16"/>
    <mergeCell ref="D18:M18"/>
    <mergeCell ref="I24:J26"/>
    <mergeCell ref="K24:L26"/>
    <mergeCell ref="Y24:AA26"/>
    <mergeCell ref="M24:R26"/>
    <mergeCell ref="S24:X26"/>
    <mergeCell ref="D22:M22"/>
    <mergeCell ref="R10:Z10"/>
    <mergeCell ref="A4:B4"/>
    <mergeCell ref="C4:H4"/>
    <mergeCell ref="I4:L4"/>
    <mergeCell ref="M4:S4"/>
    <mergeCell ref="V4:W4"/>
    <mergeCell ref="G1:U2"/>
    <mergeCell ref="V1:X1"/>
    <mergeCell ref="X6:AA6"/>
    <mergeCell ref="Y1:AA1"/>
    <mergeCell ref="V2:X2"/>
    <mergeCell ref="Y2:AA2"/>
    <mergeCell ref="X4:AA4"/>
    <mergeCell ref="M6:S6"/>
    <mergeCell ref="V6:W6"/>
    <mergeCell ref="C49:I49"/>
    <mergeCell ref="U49:Y49"/>
    <mergeCell ref="A27:B27"/>
    <mergeCell ref="A28:B29"/>
    <mergeCell ref="C28:E28"/>
    <mergeCell ref="F28:H28"/>
    <mergeCell ref="F27:H27"/>
    <mergeCell ref="Y34:AA34"/>
    <mergeCell ref="K32:L33"/>
    <mergeCell ref="A36:B36"/>
    <mergeCell ref="P28:R28"/>
    <mergeCell ref="C36:X36"/>
    <mergeCell ref="C34:X34"/>
    <mergeCell ref="A35:B35"/>
    <mergeCell ref="A30:B31"/>
    <mergeCell ref="C30:E30"/>
    <mergeCell ref="C31:E31"/>
    <mergeCell ref="F31:H31"/>
    <mergeCell ref="M31:O31"/>
    <mergeCell ref="P31:R31"/>
    <mergeCell ref="Y28:AA29"/>
    <mergeCell ref="M28:O28"/>
    <mergeCell ref="M29:O29"/>
    <mergeCell ref="I30:J31"/>
    <mergeCell ref="F30:H30"/>
    <mergeCell ref="M30:O30"/>
    <mergeCell ref="K30:L31"/>
    <mergeCell ref="P29:R29"/>
    <mergeCell ref="P30:R30"/>
    <mergeCell ref="S28:X28"/>
    <mergeCell ref="S29:X29"/>
    <mergeCell ref="Y30:AA31"/>
    <mergeCell ref="K27:L27"/>
    <mergeCell ref="I28:J29"/>
    <mergeCell ref="K28:L29"/>
    <mergeCell ref="C29:E29"/>
    <mergeCell ref="F29:H29"/>
    <mergeCell ref="C27:E27"/>
    <mergeCell ref="A37:AA44"/>
    <mergeCell ref="C33:E33"/>
    <mergeCell ref="F33:H33"/>
    <mergeCell ref="M33:O33"/>
    <mergeCell ref="P32:R33"/>
    <mergeCell ref="Y32:AA33"/>
    <mergeCell ref="S32:X32"/>
    <mergeCell ref="S33:X33"/>
    <mergeCell ref="I32:J33"/>
    <mergeCell ref="Y36:AA36"/>
    <mergeCell ref="A32:B33"/>
    <mergeCell ref="C32:E32"/>
    <mergeCell ref="F32:H32"/>
    <mergeCell ref="M32:O32"/>
    <mergeCell ref="A34:B34"/>
    <mergeCell ref="Y35:AA35"/>
  </mergeCells>
  <phoneticPr fontId="49" type="noConversion"/>
  <printOptions horizontalCentered="1"/>
  <pageMargins left="0.25" right="0.25" top="0.75" bottom="0.75" header="0.3" footer="0.3"/>
  <pageSetup paperSize="9" scale="67" orientation="portrait" horizontalDpi="4294967293" r:id="rId1"/>
  <headerFooter alignWithMargins="0"/>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1B639ECD-3DA8-4BE9-97E8-8722A39C0A74}">
          <x14:formula1>
            <xm:f>'Data Entry'!$B$11:$C$11</xm:f>
          </x14:formula1>
          <xm:sqref>X4:AA4</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4AC09-FE99-4BC2-ACD4-51476EB892BE}">
  <sheetPr>
    <tabColor rgb="FF00B050"/>
  </sheetPr>
  <dimension ref="A1:AG43"/>
  <sheetViews>
    <sheetView workbookViewId="0">
      <selection activeCell="R8" sqref="R8:T8"/>
    </sheetView>
  </sheetViews>
  <sheetFormatPr baseColWidth="10" defaultColWidth="9" defaultRowHeight="12.75"/>
  <cols>
    <col min="1" max="20" width="4.85546875" style="482" customWidth="1"/>
    <col min="21" max="22" width="4.28515625" style="482" customWidth="1"/>
    <col min="23" max="24" width="4.85546875" style="482" customWidth="1"/>
    <col min="25" max="25" width="19.28515625" style="482" customWidth="1"/>
    <col min="26" max="26" width="20.42578125" style="482" customWidth="1"/>
    <col min="27" max="28" width="21.140625" style="482" customWidth="1"/>
    <col min="29" max="51" width="4.85546875" style="482" customWidth="1"/>
    <col min="52" max="16384" width="9" style="482"/>
  </cols>
  <sheetData>
    <row r="1" spans="1:33" ht="21" customHeight="1">
      <c r="A1" s="358"/>
      <c r="B1" s="297"/>
      <c r="C1" s="297"/>
      <c r="D1" s="297"/>
      <c r="E1" s="297"/>
      <c r="F1" s="589" t="s">
        <v>574</v>
      </c>
      <c r="G1" s="589"/>
      <c r="H1" s="589"/>
      <c r="I1" s="589"/>
      <c r="J1" s="589"/>
      <c r="K1" s="589"/>
      <c r="L1" s="589"/>
      <c r="M1" s="589"/>
      <c r="N1" s="589"/>
      <c r="O1" s="590"/>
      <c r="P1" s="593"/>
      <c r="Q1" s="594"/>
      <c r="R1" s="596"/>
      <c r="S1" s="593" t="s">
        <v>2</v>
      </c>
      <c r="T1" s="594"/>
      <c r="U1" s="595"/>
      <c r="Y1" s="530" t="s">
        <v>450</v>
      </c>
      <c r="Z1" s="531"/>
      <c r="AA1" s="531"/>
      <c r="AB1" s="531"/>
      <c r="AC1" s="531"/>
      <c r="AD1" s="531"/>
      <c r="AE1" s="531"/>
      <c r="AF1" s="531"/>
      <c r="AG1" s="532"/>
    </row>
    <row r="2" spans="1:33" ht="21" customHeight="1" thickBot="1">
      <c r="A2" s="10"/>
      <c r="B2" s="11"/>
      <c r="C2" s="11"/>
      <c r="D2" s="11"/>
      <c r="E2" s="11"/>
      <c r="F2" s="591"/>
      <c r="G2" s="591"/>
      <c r="H2" s="591"/>
      <c r="I2" s="591"/>
      <c r="J2" s="591"/>
      <c r="K2" s="591"/>
      <c r="L2" s="591"/>
      <c r="M2" s="591"/>
      <c r="N2" s="591"/>
      <c r="O2" s="592"/>
      <c r="P2" s="585" t="s">
        <v>514</v>
      </c>
      <c r="Q2" s="586"/>
      <c r="R2" s="587"/>
      <c r="S2" s="486" t="s">
        <v>572</v>
      </c>
      <c r="T2" s="487"/>
      <c r="U2" s="488"/>
      <c r="Y2" s="533"/>
      <c r="Z2" s="534"/>
      <c r="AA2" s="534"/>
      <c r="AB2" s="534"/>
      <c r="AC2" s="534"/>
      <c r="AD2" s="534"/>
      <c r="AE2" s="534"/>
      <c r="AF2" s="534"/>
      <c r="AG2" s="535"/>
    </row>
    <row r="3" spans="1:33" ht="15.95" customHeight="1">
      <c r="A3" s="293"/>
      <c r="B3" s="359"/>
      <c r="C3" s="359"/>
      <c r="D3" s="359"/>
      <c r="E3" s="359"/>
      <c r="F3" s="359"/>
      <c r="G3" s="359"/>
      <c r="H3" s="359"/>
      <c r="I3" s="359"/>
      <c r="J3" s="481"/>
      <c r="K3" s="481"/>
      <c r="L3" s="481"/>
      <c r="M3" s="481"/>
      <c r="N3" s="481"/>
      <c r="O3" s="361"/>
      <c r="P3" s="362"/>
      <c r="Q3" s="363"/>
      <c r="R3" s="363"/>
      <c r="S3" s="363"/>
      <c r="T3" s="363"/>
      <c r="U3" s="21"/>
      <c r="Y3" s="656" t="s">
        <v>587</v>
      </c>
      <c r="Z3" s="1126"/>
      <c r="AA3" s="1126"/>
      <c r="AB3" s="1126"/>
      <c r="AC3" s="1126"/>
      <c r="AD3" s="1126"/>
      <c r="AE3" s="1126"/>
      <c r="AF3" s="1126"/>
      <c r="AG3" s="1128"/>
    </row>
    <row r="4" spans="1:33" ht="15.95" customHeight="1">
      <c r="A4" s="315" t="s">
        <v>4</v>
      </c>
      <c r="B4" s="606"/>
      <c r="C4" s="588"/>
      <c r="D4" s="588"/>
      <c r="E4" s="588"/>
      <c r="F4" s="588"/>
      <c r="G4" s="588"/>
      <c r="H4" s="588"/>
      <c r="I4" s="588"/>
      <c r="J4" s="588"/>
      <c r="K4" s="364"/>
      <c r="L4" s="364"/>
      <c r="M4" s="581" t="s">
        <v>5</v>
      </c>
      <c r="N4" s="581"/>
      <c r="O4" s="581"/>
      <c r="P4" s="605" t="str">
        <f>IF('Data Entry'!B8="","",'Data Entry'!B8)</f>
        <v/>
      </c>
      <c r="Q4" s="605"/>
      <c r="R4" s="605"/>
      <c r="S4" s="605"/>
      <c r="T4" s="605"/>
      <c r="U4" s="24"/>
      <c r="Y4" s="1129"/>
      <c r="Z4" s="1127"/>
      <c r="AA4" s="1127"/>
      <c r="AB4" s="1127"/>
      <c r="AC4" s="1127"/>
      <c r="AD4" s="1127"/>
      <c r="AE4" s="1127"/>
      <c r="AF4" s="1127"/>
      <c r="AG4" s="1130"/>
    </row>
    <row r="5" spans="1:33" ht="15.95" customHeight="1">
      <c r="A5" s="294"/>
      <c r="B5" s="588" t="str">
        <f>IF('Data Entry'!B19="","",'Data Entry'!B19)</f>
        <v/>
      </c>
      <c r="C5" s="588"/>
      <c r="D5" s="588"/>
      <c r="E5" s="588"/>
      <c r="F5" s="588"/>
      <c r="G5" s="588"/>
      <c r="H5" s="588"/>
      <c r="I5" s="588"/>
      <c r="J5" s="588"/>
      <c r="K5" s="364"/>
      <c r="L5" s="364"/>
      <c r="M5" s="581" t="s">
        <v>7</v>
      </c>
      <c r="N5" s="581"/>
      <c r="O5" s="581"/>
      <c r="P5" s="597"/>
      <c r="Q5" s="597"/>
      <c r="R5" s="597"/>
      <c r="S5" s="597"/>
      <c r="T5" s="597"/>
      <c r="U5" s="24"/>
      <c r="Y5" s="1129"/>
      <c r="Z5" s="1127"/>
      <c r="AA5" s="1127"/>
      <c r="AB5" s="1127"/>
      <c r="AC5" s="1127"/>
      <c r="AD5" s="1127"/>
      <c r="AE5" s="1127"/>
      <c r="AF5" s="1127"/>
      <c r="AG5" s="1130"/>
    </row>
    <row r="6" spans="1:33" ht="15.95" customHeight="1">
      <c r="A6" s="294"/>
      <c r="B6" s="588" t="str">
        <f>IF('Data Entry'!B29="","",'Data Entry'!B29)</f>
        <v/>
      </c>
      <c r="C6" s="588"/>
      <c r="D6" s="588"/>
      <c r="E6" s="588"/>
      <c r="F6" s="588"/>
      <c r="G6" s="588"/>
      <c r="H6" s="588"/>
      <c r="I6" s="588"/>
      <c r="J6" s="588"/>
      <c r="K6" s="364"/>
      <c r="L6" s="364"/>
      <c r="M6" s="581" t="s">
        <v>8</v>
      </c>
      <c r="N6" s="581"/>
      <c r="O6" s="581"/>
      <c r="P6" s="597" t="str">
        <f>IF('Data Entry'!B17="","",'Data Entry'!B17)</f>
        <v/>
      </c>
      <c r="Q6" s="597"/>
      <c r="R6" s="597"/>
      <c r="S6" s="597"/>
      <c r="T6" s="597"/>
      <c r="U6" s="24"/>
      <c r="Y6" s="1129"/>
      <c r="Z6" s="1127"/>
      <c r="AA6" s="1127"/>
      <c r="AB6" s="1127"/>
      <c r="AC6" s="1127"/>
      <c r="AD6" s="1127"/>
      <c r="AE6" s="1127"/>
      <c r="AF6" s="1127"/>
      <c r="AG6" s="1130"/>
    </row>
    <row r="7" spans="1:33" ht="15.95" customHeight="1">
      <c r="A7" s="294"/>
      <c r="B7" s="588" t="str">
        <f>IF('Data Entry'!B33="","",'Data Entry'!B33)</f>
        <v/>
      </c>
      <c r="C7" s="588"/>
      <c r="D7" s="588"/>
      <c r="E7" s="588"/>
      <c r="F7" s="588"/>
      <c r="G7" s="588"/>
      <c r="H7" s="588"/>
      <c r="I7" s="588"/>
      <c r="J7" s="588"/>
      <c r="K7" s="364"/>
      <c r="L7" s="364"/>
      <c r="M7" s="581" t="s">
        <v>515</v>
      </c>
      <c r="N7" s="581"/>
      <c r="O7" s="581"/>
      <c r="P7" s="582" t="str">
        <f>IF('Data Entry'!B23="","",'Data Entry'!B23)</f>
        <v/>
      </c>
      <c r="Q7" s="582"/>
      <c r="R7" s="582"/>
      <c r="S7" s="582"/>
      <c r="T7" s="582"/>
      <c r="U7" s="24"/>
      <c r="Y7" s="1129"/>
      <c r="Z7" s="1127"/>
      <c r="AA7" s="1127"/>
      <c r="AB7" s="1127"/>
      <c r="AC7" s="1127"/>
      <c r="AD7" s="1127"/>
      <c r="AE7" s="1127"/>
      <c r="AF7" s="1127"/>
      <c r="AG7" s="1130"/>
    </row>
    <row r="8" spans="1:33" ht="15.95" customHeight="1">
      <c r="A8" s="293"/>
      <c r="B8" s="588" t="str">
        <f>IF('Data Entry'!B31="","",'Data Entry'!B31)</f>
        <v/>
      </c>
      <c r="C8" s="588"/>
      <c r="D8" s="588"/>
      <c r="E8" s="588"/>
      <c r="F8" s="588"/>
      <c r="G8" s="588"/>
      <c r="H8" s="588"/>
      <c r="I8" s="588"/>
      <c r="J8" s="588"/>
      <c r="K8" s="364"/>
      <c r="L8" s="364"/>
      <c r="M8" s="581" t="s">
        <v>9</v>
      </c>
      <c r="N8" s="581"/>
      <c r="O8" s="581"/>
      <c r="P8" s="582" t="s">
        <v>391</v>
      </c>
      <c r="Q8" s="582"/>
      <c r="R8" s="583"/>
      <c r="S8" s="583"/>
      <c r="T8" s="583"/>
      <c r="U8" s="24"/>
      <c r="Y8" s="1129"/>
      <c r="Z8" s="1127"/>
      <c r="AA8" s="1127"/>
      <c r="AB8" s="1127"/>
      <c r="AC8" s="1127"/>
      <c r="AD8" s="1127"/>
      <c r="AE8" s="1127"/>
      <c r="AF8" s="1127"/>
      <c r="AG8" s="1130"/>
    </row>
    <row r="9" spans="1:33" ht="15.95" customHeight="1">
      <c r="A9" s="293"/>
      <c r="B9" s="588" t="s">
        <v>566</v>
      </c>
      <c r="C9" s="588"/>
      <c r="D9" s="588"/>
      <c r="E9" s="588"/>
      <c r="F9" s="588"/>
      <c r="G9" s="588"/>
      <c r="H9" s="588"/>
      <c r="I9" s="588"/>
      <c r="J9" s="588"/>
      <c r="K9" s="364"/>
      <c r="L9" s="364"/>
      <c r="M9" s="364"/>
      <c r="N9" s="364"/>
      <c r="O9" s="364"/>
      <c r="P9" s="364"/>
      <c r="Q9" s="365"/>
      <c r="R9" s="365"/>
      <c r="S9" s="365"/>
      <c r="T9" s="365"/>
      <c r="U9" s="24"/>
      <c r="Y9" s="1129"/>
      <c r="Z9" s="1127"/>
      <c r="AA9" s="1127"/>
      <c r="AB9" s="1127"/>
      <c r="AC9" s="1127"/>
      <c r="AD9" s="1127"/>
      <c r="AE9" s="1127"/>
      <c r="AF9" s="1127"/>
      <c r="AG9" s="1130"/>
    </row>
    <row r="10" spans="1:33" ht="15.95" customHeight="1">
      <c r="A10" s="293"/>
      <c r="B10" s="380"/>
      <c r="C10" s="380"/>
      <c r="D10" s="380"/>
      <c r="E10" s="380"/>
      <c r="F10" s="380"/>
      <c r="G10" s="380"/>
      <c r="H10" s="380"/>
      <c r="I10" s="380"/>
      <c r="J10" s="380"/>
      <c r="K10" s="364"/>
      <c r="L10" s="364"/>
      <c r="M10" s="364"/>
      <c r="N10" s="364"/>
      <c r="O10" s="364"/>
      <c r="P10" s="364"/>
      <c r="Q10" s="365"/>
      <c r="R10" s="365"/>
      <c r="S10" s="365"/>
      <c r="T10" s="365"/>
      <c r="U10" s="24"/>
      <c r="Y10" s="1129"/>
      <c r="Z10" s="1127"/>
      <c r="AA10" s="1127"/>
      <c r="AB10" s="1127"/>
      <c r="AC10" s="1127"/>
      <c r="AD10" s="1127"/>
      <c r="AE10" s="1127"/>
      <c r="AF10" s="1127"/>
      <c r="AG10" s="1130"/>
    </row>
    <row r="11" spans="1:33" ht="15.95" customHeight="1" thickBot="1">
      <c r="A11" s="293"/>
      <c r="B11" s="366"/>
      <c r="C11" s="366"/>
      <c r="D11" s="364"/>
      <c r="E11" s="364"/>
      <c r="F11" s="364"/>
      <c r="G11" s="364"/>
      <c r="H11" s="364"/>
      <c r="I11" s="364"/>
      <c r="J11" s="364"/>
      <c r="K11" s="364"/>
      <c r="L11" s="364"/>
      <c r="M11" s="364"/>
      <c r="N11" s="364"/>
      <c r="O11" s="364"/>
      <c r="P11" s="364"/>
      <c r="Q11" s="365"/>
      <c r="R11" s="365"/>
      <c r="S11" s="365"/>
      <c r="T11" s="365"/>
      <c r="U11" s="24"/>
      <c r="Y11" s="1129"/>
      <c r="Z11" s="1127"/>
      <c r="AA11" s="1127"/>
      <c r="AB11" s="1127"/>
      <c r="AC11" s="1127"/>
      <c r="AD11" s="1127"/>
      <c r="AE11" s="1127"/>
      <c r="AF11" s="1127"/>
      <c r="AG11" s="1130"/>
    </row>
    <row r="12" spans="1:33" ht="15.95" customHeight="1">
      <c r="A12" s="1112" t="s">
        <v>573</v>
      </c>
      <c r="B12" s="1113"/>
      <c r="C12" s="1113"/>
      <c r="D12" s="1113"/>
      <c r="E12" s="1113"/>
      <c r="F12" s="1113"/>
      <c r="G12" s="1114"/>
      <c r="H12" s="1115"/>
      <c r="I12" s="1116"/>
      <c r="J12" s="1116"/>
      <c r="K12" s="1116"/>
      <c r="L12" s="1116"/>
      <c r="M12" s="1116"/>
      <c r="N12" s="1116"/>
      <c r="O12" s="1116"/>
      <c r="P12" s="1116"/>
      <c r="Q12" s="1116"/>
      <c r="R12" s="1116"/>
      <c r="S12" s="1116"/>
      <c r="T12" s="1116"/>
      <c r="U12" s="1117"/>
      <c r="Y12" s="1129"/>
      <c r="Z12" s="1127"/>
      <c r="AA12" s="1127"/>
      <c r="AB12" s="1127"/>
      <c r="AC12" s="1127"/>
      <c r="AD12" s="1127"/>
      <c r="AE12" s="1127"/>
      <c r="AF12" s="1127"/>
      <c r="AG12" s="1130"/>
    </row>
    <row r="13" spans="1:33" ht="15.95" customHeight="1" thickBot="1">
      <c r="A13" s="1118"/>
      <c r="B13" s="1119"/>
      <c r="C13" s="1119"/>
      <c r="D13" s="1119"/>
      <c r="E13" s="1119"/>
      <c r="F13" s="1119"/>
      <c r="G13" s="1120"/>
      <c r="H13" s="1121"/>
      <c r="I13" s="1122"/>
      <c r="J13" s="1122"/>
      <c r="K13" s="1122"/>
      <c r="L13" s="1122"/>
      <c r="M13" s="1122"/>
      <c r="N13" s="1122"/>
      <c r="O13" s="1122"/>
      <c r="P13" s="1122"/>
      <c r="Q13" s="1122"/>
      <c r="R13" s="1122"/>
      <c r="S13" s="1122"/>
      <c r="T13" s="1122"/>
      <c r="U13" s="1123"/>
      <c r="Y13" s="1129"/>
      <c r="Z13" s="1127"/>
      <c r="AA13" s="1127"/>
      <c r="AB13" s="1127"/>
      <c r="AC13" s="1127"/>
      <c r="AD13" s="1127"/>
      <c r="AE13" s="1127"/>
      <c r="AF13" s="1127"/>
      <c r="AG13" s="1130"/>
    </row>
    <row r="14" spans="1:33" ht="15.95" customHeight="1" thickBot="1">
      <c r="A14" s="1124"/>
      <c r="B14" s="392"/>
      <c r="C14" s="392"/>
      <c r="D14" s="392"/>
      <c r="E14" s="392"/>
      <c r="F14" s="392"/>
      <c r="G14" s="392"/>
      <c r="H14" s="392"/>
      <c r="I14" s="392"/>
      <c r="J14" s="392"/>
      <c r="K14" s="392"/>
      <c r="L14" s="392"/>
      <c r="M14" s="392"/>
      <c r="N14" s="392"/>
      <c r="O14" s="392"/>
      <c r="P14" s="392"/>
      <c r="Q14" s="392"/>
      <c r="R14" s="392"/>
      <c r="S14" s="392"/>
      <c r="T14" s="392"/>
      <c r="U14" s="1125"/>
      <c r="Y14" s="1129"/>
      <c r="Z14" s="1127"/>
      <c r="AA14" s="1127"/>
      <c r="AB14" s="1127"/>
      <c r="AC14" s="1127"/>
      <c r="AD14" s="1127"/>
      <c r="AE14" s="1127"/>
      <c r="AF14" s="1127"/>
      <c r="AG14" s="1130"/>
    </row>
    <row r="15" spans="1:33" ht="15.95" customHeight="1">
      <c r="A15" s="1112" t="s">
        <v>582</v>
      </c>
      <c r="B15" s="1113"/>
      <c r="C15" s="1113"/>
      <c r="D15" s="1113"/>
      <c r="E15" s="1113"/>
      <c r="F15" s="1113"/>
      <c r="G15" s="1113"/>
      <c r="H15" s="1113"/>
      <c r="I15" s="1113"/>
      <c r="J15" s="1113"/>
      <c r="K15" s="1113"/>
      <c r="L15" s="1113"/>
      <c r="M15" s="1113"/>
      <c r="N15" s="1113"/>
      <c r="O15" s="1113"/>
      <c r="P15" s="1113"/>
      <c r="Q15" s="1113"/>
      <c r="R15" s="1113"/>
      <c r="S15" s="1113"/>
      <c r="T15" s="1113"/>
      <c r="U15" s="1114"/>
      <c r="Y15" s="1129"/>
      <c r="Z15" s="1127"/>
      <c r="AA15" s="1127"/>
      <c r="AB15" s="1127"/>
      <c r="AC15" s="1127"/>
      <c r="AD15" s="1127"/>
      <c r="AE15" s="1127"/>
      <c r="AF15" s="1127"/>
      <c r="AG15" s="1130"/>
    </row>
    <row r="16" spans="1:33" ht="15.95" customHeight="1" thickBot="1">
      <c r="A16" s="1118"/>
      <c r="B16" s="1119"/>
      <c r="C16" s="1119"/>
      <c r="D16" s="1119"/>
      <c r="E16" s="1119"/>
      <c r="F16" s="1119"/>
      <c r="G16" s="1119"/>
      <c r="H16" s="1119"/>
      <c r="I16" s="1119"/>
      <c r="J16" s="1119"/>
      <c r="K16" s="1119"/>
      <c r="L16" s="1119"/>
      <c r="M16" s="1119"/>
      <c r="N16" s="1119"/>
      <c r="O16" s="1119"/>
      <c r="P16" s="1119"/>
      <c r="Q16" s="1119"/>
      <c r="R16" s="1119"/>
      <c r="S16" s="1119"/>
      <c r="T16" s="1119"/>
      <c r="U16" s="1120"/>
      <c r="Y16" s="1129"/>
      <c r="Z16" s="1127"/>
      <c r="AA16" s="1127"/>
      <c r="AB16" s="1127"/>
      <c r="AC16" s="1127"/>
      <c r="AD16" s="1127"/>
      <c r="AE16" s="1127"/>
      <c r="AF16" s="1127"/>
      <c r="AG16" s="1130"/>
    </row>
    <row r="17" spans="1:33" ht="15.95" customHeight="1">
      <c r="A17" s="1106"/>
      <c r="B17" s="1107"/>
      <c r="C17" s="1107"/>
      <c r="D17" s="1107"/>
      <c r="E17" s="1107"/>
      <c r="F17" s="1107"/>
      <c r="G17" s="1107"/>
      <c r="H17" s="1107"/>
      <c r="I17" s="1107"/>
      <c r="J17" s="1107"/>
      <c r="K17" s="1107"/>
      <c r="L17" s="1106"/>
      <c r="M17" s="1107"/>
      <c r="N17" s="1107"/>
      <c r="O17" s="1107"/>
      <c r="P17" s="1107"/>
      <c r="Q17" s="1107"/>
      <c r="R17" s="1107"/>
      <c r="S17" s="1107"/>
      <c r="T17" s="1107"/>
      <c r="U17" s="1108"/>
      <c r="Y17" s="1129"/>
      <c r="Z17" s="1127"/>
      <c r="AA17" s="1127"/>
      <c r="AB17" s="1127"/>
      <c r="AC17" s="1127"/>
      <c r="AD17" s="1127"/>
      <c r="AE17" s="1127"/>
      <c r="AF17" s="1127"/>
      <c r="AG17" s="1130"/>
    </row>
    <row r="18" spans="1:33" ht="15.95" customHeight="1">
      <c r="A18" s="1104"/>
      <c r="B18" s="650"/>
      <c r="C18" s="650"/>
      <c r="D18" s="650"/>
      <c r="E18" s="650"/>
      <c r="F18" s="650"/>
      <c r="G18" s="650"/>
      <c r="H18" s="650"/>
      <c r="I18" s="650"/>
      <c r="J18" s="650"/>
      <c r="K18" s="650"/>
      <c r="L18" s="1104"/>
      <c r="M18" s="650"/>
      <c r="N18" s="650"/>
      <c r="O18" s="650"/>
      <c r="P18" s="650"/>
      <c r="Q18" s="650"/>
      <c r="R18" s="650"/>
      <c r="S18" s="650"/>
      <c r="T18" s="650"/>
      <c r="U18" s="1105"/>
      <c r="Y18" s="1129"/>
      <c r="Z18" s="1127"/>
      <c r="AA18" s="1127"/>
      <c r="AB18" s="1127"/>
      <c r="AC18" s="1127"/>
      <c r="AD18" s="1127"/>
      <c r="AE18" s="1127"/>
      <c r="AF18" s="1127"/>
      <c r="AG18" s="1130"/>
    </row>
    <row r="19" spans="1:33" ht="15.95" customHeight="1">
      <c r="A19" s="1104"/>
      <c r="B19" s="650"/>
      <c r="C19" s="650"/>
      <c r="D19" s="650"/>
      <c r="E19" s="650"/>
      <c r="F19" s="650"/>
      <c r="G19" s="650"/>
      <c r="H19" s="650"/>
      <c r="I19" s="650"/>
      <c r="J19" s="650"/>
      <c r="K19" s="650"/>
      <c r="L19" s="1104"/>
      <c r="M19" s="650"/>
      <c r="N19" s="650"/>
      <c r="O19" s="650"/>
      <c r="P19" s="650"/>
      <c r="Q19" s="650"/>
      <c r="R19" s="650"/>
      <c r="S19" s="650"/>
      <c r="T19" s="650"/>
      <c r="U19" s="1105"/>
      <c r="Y19" s="1129"/>
      <c r="Z19" s="1127"/>
      <c r="AA19" s="1127"/>
      <c r="AB19" s="1127"/>
      <c r="AC19" s="1127"/>
      <c r="AD19" s="1127"/>
      <c r="AE19" s="1127"/>
      <c r="AF19" s="1127"/>
      <c r="AG19" s="1130"/>
    </row>
    <row r="20" spans="1:33" ht="15.95" customHeight="1">
      <c r="A20" s="1104"/>
      <c r="B20" s="650"/>
      <c r="C20" s="650"/>
      <c r="D20" s="650"/>
      <c r="E20" s="650"/>
      <c r="F20" s="650"/>
      <c r="G20" s="650"/>
      <c r="H20" s="650"/>
      <c r="I20" s="650"/>
      <c r="J20" s="650"/>
      <c r="K20" s="650"/>
      <c r="L20" s="1104"/>
      <c r="M20" s="650"/>
      <c r="N20" s="650"/>
      <c r="O20" s="650"/>
      <c r="P20" s="650"/>
      <c r="Q20" s="650"/>
      <c r="R20" s="650"/>
      <c r="S20" s="650"/>
      <c r="T20" s="650"/>
      <c r="U20" s="1105"/>
      <c r="Y20" s="1129"/>
      <c r="Z20" s="1127"/>
      <c r="AA20" s="1127"/>
      <c r="AB20" s="1127"/>
      <c r="AC20" s="1127"/>
      <c r="AD20" s="1127"/>
      <c r="AE20" s="1127"/>
      <c r="AF20" s="1127"/>
      <c r="AG20" s="1130"/>
    </row>
    <row r="21" spans="1:33" ht="15.95" customHeight="1">
      <c r="A21" s="1104"/>
      <c r="B21" s="650"/>
      <c r="C21" s="650"/>
      <c r="D21" s="650"/>
      <c r="E21" s="650"/>
      <c r="F21" s="650"/>
      <c r="G21" s="650"/>
      <c r="H21" s="650"/>
      <c r="I21" s="650"/>
      <c r="J21" s="650"/>
      <c r="K21" s="650"/>
      <c r="L21" s="1104"/>
      <c r="M21" s="650"/>
      <c r="N21" s="650"/>
      <c r="O21" s="650"/>
      <c r="P21" s="650"/>
      <c r="Q21" s="650"/>
      <c r="R21" s="650"/>
      <c r="S21" s="650"/>
      <c r="T21" s="650"/>
      <c r="U21" s="1105"/>
      <c r="Y21" s="1129"/>
      <c r="Z21" s="1127"/>
      <c r="AA21" s="1127"/>
      <c r="AB21" s="1127"/>
      <c r="AC21" s="1127"/>
      <c r="AD21" s="1127"/>
      <c r="AE21" s="1127"/>
      <c r="AF21" s="1127"/>
      <c r="AG21" s="1130"/>
    </row>
    <row r="22" spans="1:33" ht="15.95" customHeight="1">
      <c r="A22" s="1104"/>
      <c r="B22" s="650"/>
      <c r="C22" s="650"/>
      <c r="D22" s="650"/>
      <c r="E22" s="650"/>
      <c r="F22" s="650"/>
      <c r="G22" s="650"/>
      <c r="H22" s="650"/>
      <c r="I22" s="650"/>
      <c r="J22" s="650"/>
      <c r="K22" s="650"/>
      <c r="L22" s="1104"/>
      <c r="M22" s="650"/>
      <c r="N22" s="650"/>
      <c r="O22" s="650"/>
      <c r="P22" s="650"/>
      <c r="Q22" s="650"/>
      <c r="R22" s="650"/>
      <c r="S22" s="650"/>
      <c r="T22" s="650"/>
      <c r="U22" s="1105"/>
      <c r="Y22" s="1129"/>
      <c r="Z22" s="1127"/>
      <c r="AA22" s="1127"/>
      <c r="AB22" s="1127"/>
      <c r="AC22" s="1127"/>
      <c r="AD22" s="1127"/>
      <c r="AE22" s="1127"/>
      <c r="AF22" s="1127"/>
      <c r="AG22" s="1130"/>
    </row>
    <row r="23" spans="1:33" ht="15.95" customHeight="1">
      <c r="A23" s="1104"/>
      <c r="B23" s="650"/>
      <c r="C23" s="650"/>
      <c r="D23" s="650"/>
      <c r="E23" s="650"/>
      <c r="F23" s="650"/>
      <c r="G23" s="650"/>
      <c r="H23" s="650"/>
      <c r="I23" s="650"/>
      <c r="J23" s="650"/>
      <c r="K23" s="650"/>
      <c r="L23" s="1104"/>
      <c r="M23" s="650"/>
      <c r="N23" s="650"/>
      <c r="O23" s="650"/>
      <c r="P23" s="650"/>
      <c r="Q23" s="650"/>
      <c r="R23" s="650"/>
      <c r="S23" s="650"/>
      <c r="T23" s="650"/>
      <c r="U23" s="1105"/>
      <c r="Y23" s="1129"/>
      <c r="Z23" s="1127"/>
      <c r="AA23" s="1127"/>
      <c r="AB23" s="1127"/>
      <c r="AC23" s="1127"/>
      <c r="AD23" s="1127"/>
      <c r="AE23" s="1127"/>
      <c r="AF23" s="1127"/>
      <c r="AG23" s="1130"/>
    </row>
    <row r="24" spans="1:33" ht="15.95" customHeight="1">
      <c r="A24" s="1104"/>
      <c r="B24" s="650"/>
      <c r="C24" s="650"/>
      <c r="D24" s="650"/>
      <c r="E24" s="650"/>
      <c r="F24" s="650"/>
      <c r="G24" s="650"/>
      <c r="H24" s="650"/>
      <c r="I24" s="650"/>
      <c r="J24" s="650"/>
      <c r="K24" s="650"/>
      <c r="L24" s="1104"/>
      <c r="M24" s="650"/>
      <c r="N24" s="650"/>
      <c r="O24" s="650"/>
      <c r="P24" s="650"/>
      <c r="Q24" s="650"/>
      <c r="R24" s="650"/>
      <c r="S24" s="650"/>
      <c r="T24" s="650"/>
      <c r="U24" s="1105"/>
      <c r="Y24" s="1129"/>
      <c r="Z24" s="1127"/>
      <c r="AA24" s="1127"/>
      <c r="AB24" s="1127"/>
      <c r="AC24" s="1127"/>
      <c r="AD24" s="1127"/>
      <c r="AE24" s="1127"/>
      <c r="AF24" s="1127"/>
      <c r="AG24" s="1130"/>
    </row>
    <row r="25" spans="1:33" ht="15.95" customHeight="1">
      <c r="A25" s="1104"/>
      <c r="B25" s="650"/>
      <c r="C25" s="650"/>
      <c r="D25" s="650"/>
      <c r="E25" s="650"/>
      <c r="F25" s="650"/>
      <c r="G25" s="650"/>
      <c r="H25" s="650"/>
      <c r="I25" s="650"/>
      <c r="J25" s="650"/>
      <c r="K25" s="650"/>
      <c r="L25" s="1104"/>
      <c r="M25" s="650"/>
      <c r="N25" s="650"/>
      <c r="O25" s="650"/>
      <c r="P25" s="650"/>
      <c r="Q25" s="650"/>
      <c r="R25" s="650"/>
      <c r="S25" s="650"/>
      <c r="T25" s="650"/>
      <c r="U25" s="1105"/>
      <c r="Y25" s="1129"/>
      <c r="Z25" s="1127"/>
      <c r="AA25" s="1127"/>
      <c r="AB25" s="1127"/>
      <c r="AC25" s="1127"/>
      <c r="AD25" s="1127"/>
      <c r="AE25" s="1127"/>
      <c r="AF25" s="1127"/>
      <c r="AG25" s="1130"/>
    </row>
    <row r="26" spans="1:33" ht="15.95" customHeight="1">
      <c r="A26" s="1104"/>
      <c r="B26" s="650"/>
      <c r="C26" s="650"/>
      <c r="D26" s="650"/>
      <c r="E26" s="650"/>
      <c r="F26" s="650"/>
      <c r="G26" s="650"/>
      <c r="H26" s="650"/>
      <c r="I26" s="650"/>
      <c r="J26" s="650"/>
      <c r="K26" s="650"/>
      <c r="L26" s="1104"/>
      <c r="M26" s="650"/>
      <c r="N26" s="650"/>
      <c r="O26" s="650"/>
      <c r="P26" s="650"/>
      <c r="Q26" s="650"/>
      <c r="R26" s="650"/>
      <c r="S26" s="650"/>
      <c r="T26" s="650"/>
      <c r="U26" s="1105"/>
      <c r="Y26" s="1129"/>
      <c r="Z26" s="1127"/>
      <c r="AA26" s="1127"/>
      <c r="AB26" s="1127"/>
      <c r="AC26" s="1127"/>
      <c r="AD26" s="1127"/>
      <c r="AE26" s="1127"/>
      <c r="AF26" s="1127"/>
      <c r="AG26" s="1130"/>
    </row>
    <row r="27" spans="1:33" ht="15.95" customHeight="1">
      <c r="A27" s="1104"/>
      <c r="B27" s="650"/>
      <c r="C27" s="650"/>
      <c r="D27" s="650"/>
      <c r="E27" s="650"/>
      <c r="F27" s="650"/>
      <c r="G27" s="650"/>
      <c r="H27" s="650"/>
      <c r="I27" s="650"/>
      <c r="J27" s="650"/>
      <c r="K27" s="650"/>
      <c r="L27" s="1104"/>
      <c r="M27" s="650"/>
      <c r="N27" s="650"/>
      <c r="O27" s="650"/>
      <c r="P27" s="650"/>
      <c r="Q27" s="650"/>
      <c r="R27" s="650"/>
      <c r="S27" s="650"/>
      <c r="T27" s="650"/>
      <c r="U27" s="1105"/>
      <c r="Y27" s="1129"/>
      <c r="Z27" s="1127"/>
      <c r="AA27" s="1127"/>
      <c r="AB27" s="1127"/>
      <c r="AC27" s="1127"/>
      <c r="AD27" s="1127"/>
      <c r="AE27" s="1127"/>
      <c r="AF27" s="1127"/>
      <c r="AG27" s="1130"/>
    </row>
    <row r="28" spans="1:33" ht="15.95" customHeight="1">
      <c r="A28" s="1104"/>
      <c r="B28" s="650"/>
      <c r="C28" s="650"/>
      <c r="D28" s="650"/>
      <c r="E28" s="650"/>
      <c r="F28" s="650"/>
      <c r="G28" s="650"/>
      <c r="H28" s="650"/>
      <c r="I28" s="650"/>
      <c r="J28" s="650"/>
      <c r="K28" s="650"/>
      <c r="L28" s="1104"/>
      <c r="M28" s="650"/>
      <c r="N28" s="650"/>
      <c r="O28" s="650"/>
      <c r="P28" s="650"/>
      <c r="Q28" s="650"/>
      <c r="R28" s="650"/>
      <c r="S28" s="650"/>
      <c r="T28" s="650"/>
      <c r="U28" s="1105"/>
      <c r="Y28" s="1129"/>
      <c r="Z28" s="1127"/>
      <c r="AA28" s="1127"/>
      <c r="AB28" s="1127"/>
      <c r="AC28" s="1127"/>
      <c r="AD28" s="1127"/>
      <c r="AE28" s="1127"/>
      <c r="AF28" s="1127"/>
      <c r="AG28" s="1130"/>
    </row>
    <row r="29" spans="1:33" ht="15.95" customHeight="1">
      <c r="A29" s="1104"/>
      <c r="B29" s="650"/>
      <c r="C29" s="650"/>
      <c r="D29" s="650"/>
      <c r="E29" s="650"/>
      <c r="F29" s="650"/>
      <c r="G29" s="650"/>
      <c r="H29" s="650"/>
      <c r="I29" s="650"/>
      <c r="J29" s="650"/>
      <c r="K29" s="650"/>
      <c r="L29" s="1104"/>
      <c r="M29" s="650"/>
      <c r="N29" s="650"/>
      <c r="O29" s="650"/>
      <c r="P29" s="650"/>
      <c r="Q29" s="650"/>
      <c r="R29" s="650"/>
      <c r="S29" s="650"/>
      <c r="T29" s="650"/>
      <c r="U29" s="1105"/>
      <c r="Y29" s="1129"/>
      <c r="Z29" s="1127"/>
      <c r="AA29" s="1127"/>
      <c r="AB29" s="1127"/>
      <c r="AC29" s="1127"/>
      <c r="AD29" s="1127"/>
      <c r="AE29" s="1127"/>
      <c r="AF29" s="1127"/>
      <c r="AG29" s="1130"/>
    </row>
    <row r="30" spans="1:33" ht="15.95" customHeight="1">
      <c r="A30" s="1104"/>
      <c r="B30" s="650"/>
      <c r="C30" s="650"/>
      <c r="D30" s="650"/>
      <c r="E30" s="650"/>
      <c r="F30" s="650"/>
      <c r="G30" s="650"/>
      <c r="H30" s="650"/>
      <c r="I30" s="650"/>
      <c r="J30" s="650"/>
      <c r="K30" s="650"/>
      <c r="L30" s="1104"/>
      <c r="M30" s="650"/>
      <c r="N30" s="650"/>
      <c r="O30" s="650"/>
      <c r="P30" s="650"/>
      <c r="Q30" s="650"/>
      <c r="R30" s="650"/>
      <c r="S30" s="650"/>
      <c r="T30" s="650"/>
      <c r="U30" s="1105"/>
      <c r="Y30" s="1129"/>
      <c r="Z30" s="1127"/>
      <c r="AA30" s="1127"/>
      <c r="AB30" s="1127"/>
      <c r="AC30" s="1127"/>
      <c r="AD30" s="1127"/>
      <c r="AE30" s="1127"/>
      <c r="AF30" s="1127"/>
      <c r="AG30" s="1130"/>
    </row>
    <row r="31" spans="1:33" ht="15.95" customHeight="1">
      <c r="A31" s="1104"/>
      <c r="B31" s="650"/>
      <c r="C31" s="650"/>
      <c r="D31" s="650"/>
      <c r="E31" s="650"/>
      <c r="F31" s="650"/>
      <c r="G31" s="650"/>
      <c r="H31" s="650"/>
      <c r="I31" s="650"/>
      <c r="J31" s="650"/>
      <c r="K31" s="650"/>
      <c r="L31" s="1104"/>
      <c r="M31" s="650"/>
      <c r="N31" s="650"/>
      <c r="O31" s="650"/>
      <c r="P31" s="650"/>
      <c r="Q31" s="650"/>
      <c r="R31" s="650"/>
      <c r="S31" s="650"/>
      <c r="T31" s="650"/>
      <c r="U31" s="1105"/>
      <c r="Y31" s="1129"/>
      <c r="Z31" s="1127"/>
      <c r="AA31" s="1127"/>
      <c r="AB31" s="1127"/>
      <c r="AC31" s="1127"/>
      <c r="AD31" s="1127"/>
      <c r="AE31" s="1127"/>
      <c r="AF31" s="1127"/>
      <c r="AG31" s="1130"/>
    </row>
    <row r="32" spans="1:33" ht="15.95" customHeight="1">
      <c r="A32" s="1104"/>
      <c r="B32" s="650"/>
      <c r="C32" s="650"/>
      <c r="D32" s="650"/>
      <c r="E32" s="650"/>
      <c r="F32" s="650"/>
      <c r="G32" s="650"/>
      <c r="H32" s="650"/>
      <c r="I32" s="650"/>
      <c r="J32" s="650"/>
      <c r="K32" s="650"/>
      <c r="L32" s="1104"/>
      <c r="M32" s="650"/>
      <c r="N32" s="650"/>
      <c r="O32" s="650"/>
      <c r="P32" s="650"/>
      <c r="Q32" s="650"/>
      <c r="R32" s="650"/>
      <c r="S32" s="650"/>
      <c r="T32" s="650"/>
      <c r="U32" s="1105"/>
      <c r="Y32" s="1129"/>
      <c r="Z32" s="1127"/>
      <c r="AA32" s="1127"/>
      <c r="AB32" s="1127"/>
      <c r="AC32" s="1127"/>
      <c r="AD32" s="1127"/>
      <c r="AE32" s="1127"/>
      <c r="AF32" s="1127"/>
      <c r="AG32" s="1130"/>
    </row>
    <row r="33" spans="1:33" ht="15.95" customHeight="1">
      <c r="A33" s="1104"/>
      <c r="B33" s="650"/>
      <c r="C33" s="650"/>
      <c r="D33" s="650"/>
      <c r="E33" s="650"/>
      <c r="F33" s="650"/>
      <c r="G33" s="650"/>
      <c r="H33" s="650"/>
      <c r="I33" s="650"/>
      <c r="J33" s="650"/>
      <c r="K33" s="650"/>
      <c r="L33" s="1104"/>
      <c r="M33" s="650"/>
      <c r="N33" s="650"/>
      <c r="O33" s="650"/>
      <c r="P33" s="650"/>
      <c r="Q33" s="650"/>
      <c r="R33" s="650"/>
      <c r="S33" s="650"/>
      <c r="T33" s="650"/>
      <c r="U33" s="1105"/>
      <c r="Y33" s="1129"/>
      <c r="Z33" s="1127"/>
      <c r="AA33" s="1127"/>
      <c r="AB33" s="1127"/>
      <c r="AC33" s="1127"/>
      <c r="AD33" s="1127"/>
      <c r="AE33" s="1127"/>
      <c r="AF33" s="1127"/>
      <c r="AG33" s="1130"/>
    </row>
    <row r="34" spans="1:33" ht="15.95" customHeight="1">
      <c r="A34" s="1104"/>
      <c r="B34" s="650"/>
      <c r="C34" s="650"/>
      <c r="D34" s="650"/>
      <c r="E34" s="650"/>
      <c r="F34" s="650"/>
      <c r="G34" s="650"/>
      <c r="H34" s="650"/>
      <c r="I34" s="650"/>
      <c r="J34" s="650"/>
      <c r="K34" s="650"/>
      <c r="L34" s="1104"/>
      <c r="M34" s="650"/>
      <c r="N34" s="650"/>
      <c r="O34" s="650"/>
      <c r="P34" s="650"/>
      <c r="Q34" s="650"/>
      <c r="R34" s="650"/>
      <c r="S34" s="650"/>
      <c r="T34" s="650"/>
      <c r="U34" s="1105"/>
      <c r="Y34" s="1129"/>
      <c r="Z34" s="1127"/>
      <c r="AA34" s="1127"/>
      <c r="AB34" s="1127"/>
      <c r="AC34" s="1127"/>
      <c r="AD34" s="1127"/>
      <c r="AE34" s="1127"/>
      <c r="AF34" s="1127"/>
      <c r="AG34" s="1130"/>
    </row>
    <row r="35" spans="1:33" ht="15.95" customHeight="1">
      <c r="A35" s="1104"/>
      <c r="B35" s="650"/>
      <c r="C35" s="650"/>
      <c r="D35" s="650"/>
      <c r="E35" s="650"/>
      <c r="F35" s="650"/>
      <c r="G35" s="650"/>
      <c r="H35" s="650"/>
      <c r="I35" s="650"/>
      <c r="J35" s="650"/>
      <c r="K35" s="650"/>
      <c r="L35" s="1104"/>
      <c r="M35" s="650"/>
      <c r="N35" s="650"/>
      <c r="O35" s="650"/>
      <c r="P35" s="650"/>
      <c r="Q35" s="650"/>
      <c r="R35" s="650"/>
      <c r="S35" s="650"/>
      <c r="T35" s="650"/>
      <c r="U35" s="1105"/>
      <c r="Y35" s="1129"/>
      <c r="Z35" s="1127"/>
      <c r="AA35" s="1127"/>
      <c r="AB35" s="1127"/>
      <c r="AC35" s="1127"/>
      <c r="AD35" s="1127"/>
      <c r="AE35" s="1127"/>
      <c r="AF35" s="1127"/>
      <c r="AG35" s="1130"/>
    </row>
    <row r="36" spans="1:33" ht="15.95" customHeight="1" thickBot="1">
      <c r="A36" s="1109"/>
      <c r="B36" s="1110"/>
      <c r="C36" s="1110"/>
      <c r="D36" s="1110"/>
      <c r="E36" s="1110"/>
      <c r="F36" s="1110"/>
      <c r="G36" s="1110"/>
      <c r="H36" s="1110"/>
      <c r="I36" s="1110"/>
      <c r="J36" s="1110"/>
      <c r="K36" s="1110"/>
      <c r="L36" s="1109"/>
      <c r="M36" s="1110"/>
      <c r="N36" s="1110"/>
      <c r="O36" s="1110"/>
      <c r="P36" s="1110"/>
      <c r="Q36" s="1110"/>
      <c r="R36" s="1110"/>
      <c r="S36" s="1110"/>
      <c r="T36" s="1110"/>
      <c r="U36" s="1111"/>
      <c r="Y36" s="1129"/>
      <c r="Z36" s="1127"/>
      <c r="AA36" s="1127"/>
      <c r="AB36" s="1127"/>
      <c r="AC36" s="1127"/>
      <c r="AD36" s="1127"/>
      <c r="AE36" s="1127"/>
      <c r="AF36" s="1127"/>
      <c r="AG36" s="1130"/>
    </row>
    <row r="37" spans="1:33" ht="15.95" customHeight="1">
      <c r="A37" s="389"/>
      <c r="B37" s="390"/>
      <c r="C37" s="390"/>
      <c r="D37" s="390"/>
      <c r="E37" s="390"/>
      <c r="F37" s="390"/>
      <c r="G37" s="390"/>
      <c r="H37" s="390"/>
      <c r="I37" s="390"/>
      <c r="J37" s="390"/>
      <c r="K37" s="390"/>
      <c r="L37" s="390"/>
      <c r="M37" s="390"/>
      <c r="N37" s="390"/>
      <c r="O37" s="390"/>
      <c r="P37" s="390"/>
      <c r="Q37" s="390"/>
      <c r="R37" s="390"/>
      <c r="S37" s="390"/>
      <c r="T37" s="390"/>
      <c r="U37" s="270"/>
      <c r="Y37" s="1129"/>
      <c r="Z37" s="1127"/>
      <c r="AA37" s="1127"/>
      <c r="AB37" s="1127"/>
      <c r="AC37" s="1127"/>
      <c r="AD37" s="1127"/>
      <c r="AE37" s="1127"/>
      <c r="AF37" s="1127"/>
      <c r="AG37" s="1130"/>
    </row>
    <row r="38" spans="1:33" ht="15.95" customHeight="1">
      <c r="A38" s="389"/>
      <c r="B38" s="390"/>
      <c r="C38" s="390"/>
      <c r="D38" s="390"/>
      <c r="E38" s="390"/>
      <c r="F38" s="390"/>
      <c r="G38" s="390"/>
      <c r="H38" s="390"/>
      <c r="I38" s="390"/>
      <c r="J38" s="390"/>
      <c r="K38" s="390"/>
      <c r="L38" s="390"/>
      <c r="M38" s="390"/>
      <c r="N38" s="390"/>
      <c r="O38" s="390"/>
      <c r="P38" s="390"/>
      <c r="Q38" s="390"/>
      <c r="R38" s="390"/>
      <c r="S38" s="390"/>
      <c r="T38" s="390"/>
      <c r="U38" s="270"/>
      <c r="Y38" s="1129"/>
      <c r="Z38" s="1127"/>
      <c r="AA38" s="1127"/>
      <c r="AB38" s="1127"/>
      <c r="AC38" s="1127"/>
      <c r="AD38" s="1127"/>
      <c r="AE38" s="1127"/>
      <c r="AF38" s="1127"/>
      <c r="AG38" s="1130"/>
    </row>
    <row r="39" spans="1:33" ht="15.95" customHeight="1" thickBot="1">
      <c r="A39" s="389"/>
      <c r="B39" s="390"/>
      <c r="C39" s="390"/>
      <c r="D39" s="390"/>
      <c r="E39" s="390"/>
      <c r="F39" s="390"/>
      <c r="G39" s="390"/>
      <c r="H39" s="390"/>
      <c r="I39" s="390"/>
      <c r="J39" s="390"/>
      <c r="K39" s="390"/>
      <c r="L39" s="390"/>
      <c r="M39" s="390"/>
      <c r="N39" s="390"/>
      <c r="O39" s="390"/>
      <c r="P39" s="390"/>
      <c r="Q39" s="390"/>
      <c r="R39" s="390"/>
      <c r="S39" s="390"/>
      <c r="T39" s="390"/>
      <c r="U39" s="270"/>
      <c r="Y39" s="1131"/>
      <c r="Z39" s="1132"/>
      <c r="AA39" s="1132"/>
      <c r="AB39" s="1132"/>
      <c r="AC39" s="1132"/>
      <c r="AD39" s="1132"/>
      <c r="AE39" s="1132"/>
      <c r="AF39" s="1132"/>
      <c r="AG39" s="1133"/>
    </row>
    <row r="40" spans="1:33" ht="15.95" customHeight="1">
      <c r="A40" s="295"/>
      <c r="B40" s="653"/>
      <c r="C40" s="653"/>
      <c r="D40" s="653"/>
      <c r="E40" s="653"/>
      <c r="F40" s="653"/>
      <c r="G40" s="391"/>
      <c r="H40" s="376"/>
      <c r="I40" s="376"/>
      <c r="J40" s="376"/>
      <c r="K40" s="478"/>
      <c r="L40" s="390"/>
      <c r="M40" s="390"/>
      <c r="N40" s="390"/>
      <c r="O40" s="390"/>
      <c r="P40" s="650"/>
      <c r="Q40" s="650"/>
      <c r="R40" s="650"/>
      <c r="S40" s="650"/>
      <c r="T40" s="650"/>
      <c r="U40" s="270"/>
    </row>
    <row r="41" spans="1:33" ht="15.95" customHeight="1">
      <c r="A41" s="295"/>
      <c r="B41" s="651" t="s">
        <v>581</v>
      </c>
      <c r="C41" s="651"/>
      <c r="D41" s="651"/>
      <c r="E41" s="651"/>
      <c r="F41" s="651"/>
      <c r="G41" s="391"/>
      <c r="H41" s="376"/>
      <c r="I41" s="376"/>
      <c r="J41" s="376"/>
      <c r="K41" s="478"/>
      <c r="L41" s="390"/>
      <c r="M41" s="390"/>
      <c r="N41" s="390"/>
      <c r="O41" s="390"/>
      <c r="P41" s="651" t="s">
        <v>101</v>
      </c>
      <c r="Q41" s="651"/>
      <c r="R41" s="651"/>
      <c r="S41" s="651"/>
      <c r="T41" s="651"/>
      <c r="U41" s="270"/>
    </row>
    <row r="42" spans="1:33" ht="15.95" customHeight="1">
      <c r="A42" s="389"/>
      <c r="B42" s="390"/>
      <c r="C42" s="390"/>
      <c r="D42" s="390"/>
      <c r="E42" s="390"/>
      <c r="F42" s="390"/>
      <c r="G42" s="390"/>
      <c r="H42" s="390"/>
      <c r="I42" s="390"/>
      <c r="J42" s="390"/>
      <c r="K42" s="390"/>
      <c r="L42" s="390"/>
      <c r="M42" s="390"/>
      <c r="N42" s="390"/>
      <c r="O42" s="390"/>
      <c r="P42" s="390"/>
      <c r="Q42" s="390"/>
      <c r="R42" s="390"/>
      <c r="S42" s="390"/>
      <c r="T42" s="390"/>
      <c r="U42" s="270"/>
    </row>
    <row r="43" spans="1:33" ht="15.95" customHeight="1" thickBot="1">
      <c r="A43" s="271"/>
      <c r="B43" s="272"/>
      <c r="C43" s="272"/>
      <c r="D43" s="272"/>
      <c r="E43" s="272"/>
      <c r="F43" s="272"/>
      <c r="G43" s="272"/>
      <c r="H43" s="272"/>
      <c r="I43" s="272"/>
      <c r="J43" s="272"/>
      <c r="K43" s="272"/>
      <c r="L43" s="272"/>
      <c r="M43" s="272"/>
      <c r="N43" s="272"/>
      <c r="O43" s="272"/>
      <c r="P43" s="272"/>
      <c r="Q43" s="272"/>
      <c r="R43" s="272"/>
      <c r="S43" s="272"/>
      <c r="T43" s="272"/>
      <c r="U43" s="273"/>
    </row>
  </sheetData>
  <mergeCells count="33">
    <mergeCell ref="Y3:AG39"/>
    <mergeCell ref="A17:K36"/>
    <mergeCell ref="L17:U36"/>
    <mergeCell ref="B40:F40"/>
    <mergeCell ref="P40:T40"/>
    <mergeCell ref="B41:F41"/>
    <mergeCell ref="P41:T41"/>
    <mergeCell ref="A12:G13"/>
    <mergeCell ref="H12:U13"/>
    <mergeCell ref="A15:U16"/>
    <mergeCell ref="B9:J9"/>
    <mergeCell ref="B7:J7"/>
    <mergeCell ref="M7:O7"/>
    <mergeCell ref="P7:T7"/>
    <mergeCell ref="B8:J8"/>
    <mergeCell ref="M8:O8"/>
    <mergeCell ref="P8:Q8"/>
    <mergeCell ref="R8:T8"/>
    <mergeCell ref="B4:J4"/>
    <mergeCell ref="M4:O4"/>
    <mergeCell ref="P4:T4"/>
    <mergeCell ref="B5:J5"/>
    <mergeCell ref="M5:O5"/>
    <mergeCell ref="P5:T5"/>
    <mergeCell ref="B6:J6"/>
    <mergeCell ref="M6:O6"/>
    <mergeCell ref="P6:T6"/>
    <mergeCell ref="F1:O2"/>
    <mergeCell ref="P1:R1"/>
    <mergeCell ref="S1:U1"/>
    <mergeCell ref="Y1:AG2"/>
    <mergeCell ref="P2:R2"/>
    <mergeCell ref="S2:U2"/>
  </mergeCells>
  <conditionalFormatting sqref="B4:J4">
    <cfRule type="cellIs" dxfId="6" priority="1" operator="equal">
      <formula>0</formula>
    </cfRule>
  </conditionalFormatting>
  <printOptions horizontalCentered="1"/>
  <pageMargins left="3.9370078740157501E-2" right="3.9370078740157501E-2" top="0.38" bottom="7.8740157480315001E-2" header="0.47" footer="0.31496062992126"/>
  <pageSetup paperSize="9" scale="95"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37D996A3-0D50-488C-8F63-692B9D099795}">
          <x14:formula1>
            <xm:f>'Data Entry'!$B$15:$C$15</xm:f>
          </x14:formula1>
          <xm:sqref>R8:T8</xm:sqref>
        </x14:dataValidation>
        <x14:dataValidation type="list" allowBlank="1" showInputMessage="1" showErrorMessage="1" xr:uid="{E65F88A8-4322-4CDB-AD7E-0216F6E6DB34}">
          <x14:formula1>
            <xm:f>'Data Entry'!$B$13:$C$13</xm:f>
          </x14:formula1>
          <xm:sqref>B4:J4</xm:sqref>
        </x14:dataValidation>
        <x14:dataValidation type="list" allowBlank="1" showInputMessage="1" showErrorMessage="1" xr:uid="{AD17906B-8490-4272-963E-32A00E7321C8}">
          <x14:formula1>
            <xm:f>'Data Entry'!$B$11:$C$11</xm:f>
          </x14:formula1>
          <xm:sqref>AK5:AO5 P5:T5</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59607-38D9-4E98-AF5C-F7B774102810}">
  <sheetPr>
    <tabColor rgb="FFFFFF00"/>
  </sheetPr>
  <dimension ref="A1:AF43"/>
  <sheetViews>
    <sheetView topLeftCell="A7" workbookViewId="0">
      <selection activeCell="O34" sqref="O34:T34"/>
    </sheetView>
  </sheetViews>
  <sheetFormatPr baseColWidth="10" defaultColWidth="9" defaultRowHeight="12.75"/>
  <cols>
    <col min="1" max="20" width="4.85546875" style="1" customWidth="1"/>
    <col min="21" max="21" width="4.28515625" style="1" customWidth="1"/>
    <col min="22" max="22" width="9" style="339"/>
    <col min="23" max="23" width="4.85546875" style="339" customWidth="1"/>
    <col min="24" max="24" width="11.28515625" style="339" customWidth="1"/>
    <col min="25" max="25" width="12.42578125" style="339" customWidth="1"/>
    <col min="26" max="26" width="13.42578125" style="339" customWidth="1"/>
    <col min="27" max="27" width="14.7109375" style="339" customWidth="1"/>
    <col min="28" max="28" width="14" style="339" customWidth="1"/>
    <col min="29" max="29" width="11.42578125" style="339" customWidth="1"/>
    <col min="30" max="30" width="20.42578125" style="339" customWidth="1"/>
    <col min="31" max="34" width="4.85546875" style="339" customWidth="1"/>
    <col min="35" max="16384" width="9" style="339"/>
  </cols>
  <sheetData>
    <row r="1" spans="1:32" ht="21" customHeight="1">
      <c r="A1" s="358"/>
      <c r="B1" s="297"/>
      <c r="C1" s="297"/>
      <c r="D1" s="297"/>
      <c r="E1" s="297"/>
      <c r="F1" s="589" t="s">
        <v>498</v>
      </c>
      <c r="G1" s="589"/>
      <c r="H1" s="589"/>
      <c r="I1" s="589"/>
      <c r="J1" s="589"/>
      <c r="K1" s="589"/>
      <c r="L1" s="589"/>
      <c r="M1" s="589"/>
      <c r="N1" s="589"/>
      <c r="O1" s="590"/>
      <c r="P1" s="593"/>
      <c r="Q1" s="594"/>
      <c r="R1" s="596"/>
      <c r="S1" s="593" t="s">
        <v>2</v>
      </c>
      <c r="T1" s="594"/>
      <c r="U1" s="595"/>
      <c r="X1" s="530" t="s">
        <v>450</v>
      </c>
      <c r="Y1" s="531"/>
      <c r="Z1" s="531"/>
      <c r="AA1" s="531"/>
      <c r="AB1" s="531"/>
      <c r="AC1" s="531"/>
      <c r="AD1" s="531"/>
      <c r="AE1" s="531"/>
      <c r="AF1" s="532"/>
    </row>
    <row r="2" spans="1:32" ht="21" customHeight="1" thickBot="1">
      <c r="A2" s="10"/>
      <c r="B2" s="11"/>
      <c r="C2" s="11"/>
      <c r="D2" s="11"/>
      <c r="E2" s="11"/>
      <c r="F2" s="591"/>
      <c r="G2" s="591"/>
      <c r="H2" s="591"/>
      <c r="I2" s="591"/>
      <c r="J2" s="591"/>
      <c r="K2" s="591"/>
      <c r="L2" s="591"/>
      <c r="M2" s="591"/>
      <c r="N2" s="591"/>
      <c r="O2" s="592"/>
      <c r="P2" s="585" t="s">
        <v>514</v>
      </c>
      <c r="Q2" s="586"/>
      <c r="R2" s="587"/>
      <c r="S2" s="486" t="s">
        <v>572</v>
      </c>
      <c r="T2" s="487"/>
      <c r="U2" s="488"/>
      <c r="X2" s="533"/>
      <c r="Y2" s="534"/>
      <c r="Z2" s="534"/>
      <c r="AA2" s="534"/>
      <c r="AB2" s="534"/>
      <c r="AC2" s="534"/>
      <c r="AD2" s="534"/>
      <c r="AE2" s="534"/>
      <c r="AF2" s="535"/>
    </row>
    <row r="3" spans="1:32" ht="15.95" customHeight="1">
      <c r="A3" s="293"/>
      <c r="B3" s="359"/>
      <c r="C3" s="359"/>
      <c r="D3" s="359"/>
      <c r="E3" s="359"/>
      <c r="F3" s="359"/>
      <c r="G3" s="359"/>
      <c r="H3" s="359"/>
      <c r="I3" s="359"/>
      <c r="J3" s="360"/>
      <c r="K3" s="360"/>
      <c r="L3" s="360"/>
      <c r="M3" s="360"/>
      <c r="N3" s="360"/>
      <c r="O3" s="361"/>
      <c r="P3" s="362"/>
      <c r="Q3" s="363"/>
      <c r="R3" s="363"/>
      <c r="S3" s="363"/>
      <c r="T3" s="363"/>
      <c r="U3" s="21"/>
      <c r="X3" s="566" t="s">
        <v>502</v>
      </c>
      <c r="Y3" s="567"/>
      <c r="Z3" s="567"/>
      <c r="AA3" s="567"/>
      <c r="AB3" s="567"/>
      <c r="AC3" s="567"/>
      <c r="AD3" s="567"/>
      <c r="AE3" s="567"/>
      <c r="AF3" s="568"/>
    </row>
    <row r="4" spans="1:32" ht="15.95" customHeight="1">
      <c r="A4" s="315" t="s">
        <v>4</v>
      </c>
      <c r="B4" s="606"/>
      <c r="C4" s="588"/>
      <c r="D4" s="588"/>
      <c r="E4" s="588"/>
      <c r="F4" s="588"/>
      <c r="G4" s="588"/>
      <c r="H4" s="588"/>
      <c r="I4" s="588"/>
      <c r="J4" s="588"/>
      <c r="K4" s="364"/>
      <c r="L4" s="364"/>
      <c r="M4" s="581" t="s">
        <v>5</v>
      </c>
      <c r="N4" s="581"/>
      <c r="O4" s="581"/>
      <c r="P4" s="605" t="str">
        <f>IF('Data Entry'!B8="","",'Data Entry'!B8)</f>
        <v/>
      </c>
      <c r="Q4" s="605"/>
      <c r="R4" s="605"/>
      <c r="S4" s="605"/>
      <c r="T4" s="605"/>
      <c r="U4" s="24"/>
      <c r="X4" s="569"/>
      <c r="Y4" s="570"/>
      <c r="Z4" s="570"/>
      <c r="AA4" s="570"/>
      <c r="AB4" s="570"/>
      <c r="AC4" s="570"/>
      <c r="AD4" s="570"/>
      <c r="AE4" s="570"/>
      <c r="AF4" s="571"/>
    </row>
    <row r="5" spans="1:32" ht="15.95" customHeight="1">
      <c r="A5" s="294"/>
      <c r="B5" s="588" t="str">
        <f>IF('Data Entry'!B19="","",'Data Entry'!B19)</f>
        <v/>
      </c>
      <c r="C5" s="588"/>
      <c r="D5" s="588"/>
      <c r="E5" s="588"/>
      <c r="F5" s="588"/>
      <c r="G5" s="588"/>
      <c r="H5" s="588"/>
      <c r="I5" s="588"/>
      <c r="J5" s="588"/>
      <c r="K5" s="364"/>
      <c r="L5" s="364"/>
      <c r="M5" s="581" t="s">
        <v>7</v>
      </c>
      <c r="N5" s="581"/>
      <c r="O5" s="581"/>
      <c r="P5" s="597"/>
      <c r="Q5" s="597"/>
      <c r="R5" s="597"/>
      <c r="S5" s="597"/>
      <c r="T5" s="597"/>
      <c r="U5" s="24"/>
      <c r="X5" s="569"/>
      <c r="Y5" s="570"/>
      <c r="Z5" s="570"/>
      <c r="AA5" s="570"/>
      <c r="AB5" s="570"/>
      <c r="AC5" s="570"/>
      <c r="AD5" s="570"/>
      <c r="AE5" s="570"/>
      <c r="AF5" s="571"/>
    </row>
    <row r="6" spans="1:32" ht="15.95" customHeight="1">
      <c r="A6" s="294"/>
      <c r="B6" s="588" t="str">
        <f>IF('Data Entry'!B29="","",'Data Entry'!B29)</f>
        <v/>
      </c>
      <c r="C6" s="588"/>
      <c r="D6" s="588"/>
      <c r="E6" s="588"/>
      <c r="F6" s="588"/>
      <c r="G6" s="588"/>
      <c r="H6" s="588"/>
      <c r="I6" s="588"/>
      <c r="J6" s="588"/>
      <c r="K6" s="364"/>
      <c r="L6" s="364"/>
      <c r="M6" s="581" t="s">
        <v>8</v>
      </c>
      <c r="N6" s="581"/>
      <c r="O6" s="581"/>
      <c r="P6" s="597" t="str">
        <f>IF('Data Entry'!B17="","",'Data Entry'!B17)</f>
        <v/>
      </c>
      <c r="Q6" s="597"/>
      <c r="R6" s="597"/>
      <c r="S6" s="597"/>
      <c r="T6" s="597"/>
      <c r="U6" s="24"/>
      <c r="W6" s="26"/>
      <c r="X6" s="569"/>
      <c r="Y6" s="570"/>
      <c r="Z6" s="570"/>
      <c r="AA6" s="570"/>
      <c r="AB6" s="570"/>
      <c r="AC6" s="570"/>
      <c r="AD6" s="570"/>
      <c r="AE6" s="570"/>
      <c r="AF6" s="571"/>
    </row>
    <row r="7" spans="1:32" ht="15.95" customHeight="1">
      <c r="A7" s="294"/>
      <c r="B7" s="588" t="str">
        <f>IF('Data Entry'!B33="","",'Data Entry'!B33)</f>
        <v/>
      </c>
      <c r="C7" s="588"/>
      <c r="D7" s="588"/>
      <c r="E7" s="588"/>
      <c r="F7" s="588"/>
      <c r="G7" s="588"/>
      <c r="H7" s="588"/>
      <c r="I7" s="588"/>
      <c r="J7" s="588"/>
      <c r="K7" s="364"/>
      <c r="L7" s="364"/>
      <c r="M7" s="581" t="s">
        <v>515</v>
      </c>
      <c r="N7" s="581"/>
      <c r="O7" s="581"/>
      <c r="P7" s="582" t="str">
        <f>IF('Data Entry'!B23="","",'Data Entry'!B23)</f>
        <v/>
      </c>
      <c r="Q7" s="582"/>
      <c r="R7" s="582"/>
      <c r="S7" s="582"/>
      <c r="T7" s="582"/>
      <c r="U7" s="24"/>
      <c r="X7" s="569"/>
      <c r="Y7" s="570"/>
      <c r="Z7" s="570"/>
      <c r="AA7" s="570"/>
      <c r="AB7" s="570"/>
      <c r="AC7" s="570"/>
      <c r="AD7" s="570"/>
      <c r="AE7" s="570"/>
      <c r="AF7" s="571"/>
    </row>
    <row r="8" spans="1:32" ht="15.95" customHeight="1">
      <c r="A8" s="293"/>
      <c r="B8" s="588" t="str">
        <f>IF('Data Entry'!B31="","",'Data Entry'!B31)</f>
        <v/>
      </c>
      <c r="C8" s="588"/>
      <c r="D8" s="588"/>
      <c r="E8" s="588"/>
      <c r="F8" s="588"/>
      <c r="G8" s="588"/>
      <c r="H8" s="588"/>
      <c r="I8" s="588"/>
      <c r="J8" s="588"/>
      <c r="K8" s="364"/>
      <c r="L8" s="364"/>
      <c r="M8" s="581" t="s">
        <v>9</v>
      </c>
      <c r="N8" s="581"/>
      <c r="O8" s="581"/>
      <c r="P8" s="582" t="s">
        <v>391</v>
      </c>
      <c r="Q8" s="582"/>
      <c r="R8" s="583"/>
      <c r="S8" s="583"/>
      <c r="T8" s="583"/>
      <c r="U8" s="24"/>
      <c r="X8" s="569"/>
      <c r="Y8" s="570"/>
      <c r="Z8" s="570"/>
      <c r="AA8" s="570"/>
      <c r="AB8" s="570"/>
      <c r="AC8" s="570"/>
      <c r="AD8" s="570"/>
      <c r="AE8" s="570"/>
      <c r="AF8" s="571"/>
    </row>
    <row r="9" spans="1:32" ht="15.95" customHeight="1">
      <c r="A9" s="293"/>
      <c r="B9" s="588" t="s">
        <v>566</v>
      </c>
      <c r="C9" s="588"/>
      <c r="D9" s="588"/>
      <c r="E9" s="588"/>
      <c r="F9" s="588"/>
      <c r="G9" s="588"/>
      <c r="H9" s="588"/>
      <c r="I9" s="588"/>
      <c r="J9" s="588"/>
      <c r="K9" s="364"/>
      <c r="L9" s="364"/>
      <c r="M9" s="364"/>
      <c r="N9" s="364"/>
      <c r="O9" s="364"/>
      <c r="P9" s="364"/>
      <c r="Q9" s="365"/>
      <c r="R9" s="365"/>
      <c r="S9" s="365"/>
      <c r="T9" s="365"/>
      <c r="U9" s="24"/>
      <c r="X9" s="569"/>
      <c r="Y9" s="570"/>
      <c r="Z9" s="570"/>
      <c r="AA9" s="570"/>
      <c r="AB9" s="570"/>
      <c r="AC9" s="570"/>
      <c r="AD9" s="570"/>
      <c r="AE9" s="570"/>
      <c r="AF9" s="571"/>
    </row>
    <row r="10" spans="1:32" ht="15.95" customHeight="1">
      <c r="A10" s="293"/>
      <c r="B10" s="380"/>
      <c r="C10" s="380"/>
      <c r="D10" s="380"/>
      <c r="E10" s="380"/>
      <c r="F10" s="380"/>
      <c r="G10" s="380"/>
      <c r="H10" s="380"/>
      <c r="I10" s="380"/>
      <c r="J10" s="380"/>
      <c r="K10" s="364"/>
      <c r="L10" s="364"/>
      <c r="M10" s="364"/>
      <c r="N10" s="364"/>
      <c r="O10" s="364"/>
      <c r="P10" s="364"/>
      <c r="Q10" s="365"/>
      <c r="R10" s="365"/>
      <c r="S10" s="365"/>
      <c r="T10" s="365"/>
      <c r="U10" s="24"/>
      <c r="X10" s="569"/>
      <c r="Y10" s="570"/>
      <c r="Z10" s="570"/>
      <c r="AA10" s="570"/>
      <c r="AB10" s="570"/>
      <c r="AC10" s="570"/>
      <c r="AD10" s="570"/>
      <c r="AE10" s="570"/>
      <c r="AF10" s="571"/>
    </row>
    <row r="11" spans="1:32" ht="15.95" customHeight="1" thickBot="1">
      <c r="A11" s="293"/>
      <c r="B11" s="366"/>
      <c r="C11" s="366"/>
      <c r="D11" s="364"/>
      <c r="E11" s="364"/>
      <c r="F11" s="364"/>
      <c r="G11" s="364"/>
      <c r="H11" s="369"/>
      <c r="I11" s="369"/>
      <c r="J11" s="369"/>
      <c r="K11" s="364"/>
      <c r="L11" s="364"/>
      <c r="M11" s="364"/>
      <c r="N11" s="364"/>
      <c r="O11" s="364"/>
      <c r="P11" s="364"/>
      <c r="Q11" s="365"/>
      <c r="R11" s="365"/>
      <c r="S11" s="365"/>
      <c r="T11" s="365"/>
      <c r="U11" s="24"/>
      <c r="X11" s="572"/>
      <c r="Y11" s="573"/>
      <c r="Z11" s="573"/>
      <c r="AA11" s="573"/>
      <c r="AB11" s="573"/>
      <c r="AC11" s="573"/>
      <c r="AD11" s="573"/>
      <c r="AE11" s="573"/>
      <c r="AF11" s="574"/>
    </row>
    <row r="12" spans="1:32" ht="15.95" customHeight="1">
      <c r="A12" s="395" t="s">
        <v>10</v>
      </c>
      <c r="B12" s="365"/>
      <c r="C12" s="365"/>
      <c r="D12" s="365"/>
      <c r="E12" s="365"/>
      <c r="F12" s="369"/>
      <c r="G12" s="369"/>
      <c r="H12" s="369"/>
      <c r="I12" s="365"/>
      <c r="J12" s="365"/>
      <c r="K12" s="365"/>
      <c r="L12" s="365"/>
      <c r="M12" s="365"/>
      <c r="N12" s="365"/>
      <c r="O12" s="365"/>
      <c r="P12" s="365"/>
      <c r="Q12" s="365"/>
      <c r="R12" s="365"/>
      <c r="S12" s="365"/>
      <c r="T12" s="365"/>
      <c r="U12" s="24"/>
    </row>
    <row r="13" spans="1:32" ht="15.95" customHeight="1">
      <c r="A13" s="395"/>
      <c r="B13" s="972" t="s">
        <v>141</v>
      </c>
      <c r="C13" s="972"/>
      <c r="D13" s="972"/>
      <c r="E13" s="972"/>
      <c r="F13" s="972"/>
      <c r="G13" s="972"/>
      <c r="H13" s="972"/>
      <c r="I13" s="972"/>
      <c r="J13" s="972"/>
      <c r="K13" s="972"/>
      <c r="L13" s="972"/>
      <c r="M13" s="972"/>
      <c r="N13" s="972"/>
      <c r="O13" s="972"/>
      <c r="P13" s="972"/>
      <c r="Q13" s="972"/>
      <c r="R13" s="972"/>
      <c r="S13" s="972"/>
      <c r="T13" s="972"/>
      <c r="U13" s="24"/>
    </row>
    <row r="14" spans="1:32" ht="15.95" customHeight="1">
      <c r="A14" s="395"/>
      <c r="B14" s="972"/>
      <c r="C14" s="972"/>
      <c r="D14" s="972"/>
      <c r="E14" s="972"/>
      <c r="F14" s="972"/>
      <c r="G14" s="972"/>
      <c r="H14" s="972"/>
      <c r="I14" s="972"/>
      <c r="J14" s="972"/>
      <c r="K14" s="972"/>
      <c r="L14" s="972"/>
      <c r="M14" s="972"/>
      <c r="N14" s="972"/>
      <c r="O14" s="972"/>
      <c r="P14" s="972"/>
      <c r="Q14" s="972"/>
      <c r="R14" s="972"/>
      <c r="S14" s="972"/>
      <c r="T14" s="972"/>
      <c r="U14" s="24"/>
    </row>
    <row r="15" spans="1:32" ht="15.95" customHeight="1">
      <c r="A15" s="293"/>
      <c r="B15" s="396" t="s">
        <v>497</v>
      </c>
      <c r="C15" s="396"/>
      <c r="D15" s="396"/>
      <c r="E15" s="396"/>
      <c r="F15" s="376"/>
      <c r="G15" s="977">
        <f>'Data Entry'!B8</f>
        <v>0</v>
      </c>
      <c r="H15" s="977"/>
      <c r="I15" s="977"/>
      <c r="J15" s="396" t="s">
        <v>488</v>
      </c>
      <c r="K15" s="376"/>
      <c r="L15" s="396"/>
      <c r="M15" s="396"/>
      <c r="N15" s="396"/>
      <c r="O15" s="396"/>
      <c r="P15" s="396"/>
      <c r="Q15" s="396"/>
      <c r="R15" s="396"/>
      <c r="S15" s="396"/>
      <c r="T15" s="396"/>
      <c r="U15" s="402"/>
    </row>
    <row r="16" spans="1:32" ht="15.95" customHeight="1">
      <c r="A16" s="293"/>
      <c r="B16" s="372"/>
      <c r="C16" s="372"/>
      <c r="D16" s="365"/>
      <c r="E16" s="365"/>
      <c r="F16" s="376"/>
      <c r="G16" s="970" t="s">
        <v>13</v>
      </c>
      <c r="H16" s="970"/>
      <c r="I16" s="970"/>
      <c r="J16" s="369"/>
      <c r="K16" s="369"/>
      <c r="L16" s="369"/>
      <c r="M16" s="365"/>
      <c r="N16" s="365"/>
      <c r="O16" s="356"/>
      <c r="P16" s="365"/>
      <c r="Q16" s="365"/>
      <c r="R16" s="365"/>
      <c r="S16" s="365"/>
      <c r="T16" s="365"/>
      <c r="U16" s="24"/>
    </row>
    <row r="17" spans="1:21" ht="15.95" customHeight="1">
      <c r="A17" s="293"/>
      <c r="B17" s="978">
        <f>'Data Entry'!B17</f>
        <v>0</v>
      </c>
      <c r="C17" s="978"/>
      <c r="D17" s="979"/>
      <c r="E17" s="979"/>
      <c r="F17" s="979"/>
      <c r="G17" s="979"/>
      <c r="H17" s="979"/>
      <c r="I17" s="980" t="s">
        <v>489</v>
      </c>
      <c r="J17" s="980"/>
      <c r="K17" s="977"/>
      <c r="L17" s="977"/>
      <c r="M17" s="977"/>
      <c r="N17" s="977"/>
      <c r="O17" s="977"/>
      <c r="P17" s="977"/>
      <c r="Q17" s="969" t="s">
        <v>499</v>
      </c>
      <c r="R17" s="969"/>
      <c r="S17" s="969"/>
      <c r="T17" s="969"/>
      <c r="U17" s="402"/>
    </row>
    <row r="18" spans="1:21" ht="15.95" customHeight="1">
      <c r="A18" s="293"/>
      <c r="B18" s="970" t="s">
        <v>15</v>
      </c>
      <c r="C18" s="970"/>
      <c r="D18" s="970"/>
      <c r="E18" s="970"/>
      <c r="F18" s="970"/>
      <c r="G18" s="970"/>
      <c r="H18" s="970"/>
      <c r="I18" s="397"/>
      <c r="J18" s="365"/>
      <c r="K18" s="970" t="s">
        <v>16</v>
      </c>
      <c r="L18" s="970"/>
      <c r="M18" s="970"/>
      <c r="N18" s="970"/>
      <c r="O18" s="970"/>
      <c r="P18" s="970"/>
      <c r="Q18" s="398"/>
      <c r="R18" s="398"/>
      <c r="S18" s="398"/>
      <c r="T18" s="398"/>
      <c r="U18" s="24"/>
    </row>
    <row r="19" spans="1:21" ht="15.95" customHeight="1">
      <c r="A19" s="293"/>
      <c r="B19" s="976" t="s">
        <v>500</v>
      </c>
      <c r="C19" s="976"/>
      <c r="D19" s="976"/>
      <c r="E19" s="976"/>
      <c r="F19" s="976"/>
      <c r="G19" s="976"/>
      <c r="H19" s="976"/>
      <c r="I19" s="976"/>
      <c r="J19" s="976"/>
      <c r="K19" s="976"/>
      <c r="L19" s="976"/>
      <c r="M19" s="976"/>
      <c r="N19" s="976"/>
      <c r="O19" s="976"/>
      <c r="P19" s="976"/>
      <c r="Q19" s="976"/>
      <c r="R19" s="976"/>
      <c r="S19" s="976"/>
      <c r="T19" s="976"/>
      <c r="U19" s="24"/>
    </row>
    <row r="20" spans="1:21" ht="15.95" customHeight="1">
      <c r="A20" s="293"/>
      <c r="B20" s="404"/>
      <c r="C20" s="404"/>
      <c r="D20" s="404"/>
      <c r="E20" s="404"/>
      <c r="F20" s="404"/>
      <c r="G20" s="404"/>
      <c r="H20" s="404"/>
      <c r="I20" s="404"/>
      <c r="J20" s="404"/>
      <c r="K20" s="404"/>
      <c r="L20" s="404"/>
      <c r="M20" s="404"/>
      <c r="N20" s="404"/>
      <c r="O20" s="404"/>
      <c r="P20" s="404"/>
      <c r="Q20" s="404"/>
      <c r="R20" s="404"/>
      <c r="S20" s="404"/>
      <c r="T20" s="404"/>
      <c r="U20" s="24"/>
    </row>
    <row r="21" spans="1:21" ht="15.95" customHeight="1">
      <c r="A21" s="293"/>
      <c r="B21" s="972" t="s">
        <v>501</v>
      </c>
      <c r="C21" s="975"/>
      <c r="D21" s="975"/>
      <c r="E21" s="975"/>
      <c r="F21" s="975"/>
      <c r="G21" s="975"/>
      <c r="H21" s="975"/>
      <c r="I21" s="975"/>
      <c r="J21" s="975"/>
      <c r="K21" s="975"/>
      <c r="L21" s="975"/>
      <c r="M21" s="975"/>
      <c r="N21" s="975"/>
      <c r="O21" s="975"/>
      <c r="P21" s="975"/>
      <c r="Q21" s="975"/>
      <c r="R21" s="975"/>
      <c r="S21" s="975"/>
      <c r="T21" s="975"/>
      <c r="U21" s="382"/>
    </row>
    <row r="22" spans="1:21" ht="15.95" customHeight="1">
      <c r="A22" s="293"/>
      <c r="B22" s="975"/>
      <c r="C22" s="975"/>
      <c r="D22" s="975"/>
      <c r="E22" s="975"/>
      <c r="F22" s="975"/>
      <c r="G22" s="975"/>
      <c r="H22" s="975"/>
      <c r="I22" s="975"/>
      <c r="J22" s="975"/>
      <c r="K22" s="975"/>
      <c r="L22" s="975"/>
      <c r="M22" s="975"/>
      <c r="N22" s="975"/>
      <c r="O22" s="975"/>
      <c r="P22" s="975"/>
      <c r="Q22" s="975"/>
      <c r="R22" s="975"/>
      <c r="S22" s="975"/>
      <c r="T22" s="975"/>
      <c r="U22" s="270"/>
    </row>
    <row r="23" spans="1:21" ht="15.95" customHeight="1">
      <c r="A23" s="293"/>
      <c r="B23" s="975"/>
      <c r="C23" s="975"/>
      <c r="D23" s="975"/>
      <c r="E23" s="975"/>
      <c r="F23" s="975"/>
      <c r="G23" s="975"/>
      <c r="H23" s="975"/>
      <c r="I23" s="975"/>
      <c r="J23" s="975"/>
      <c r="K23" s="975"/>
      <c r="L23" s="975"/>
      <c r="M23" s="975"/>
      <c r="N23" s="975"/>
      <c r="O23" s="975"/>
      <c r="P23" s="975"/>
      <c r="Q23" s="975"/>
      <c r="R23" s="975"/>
      <c r="S23" s="975"/>
      <c r="T23" s="975"/>
      <c r="U23" s="270"/>
    </row>
    <row r="24" spans="1:21" ht="15.95" customHeight="1">
      <c r="A24" s="293"/>
      <c r="B24" s="975"/>
      <c r="C24" s="975"/>
      <c r="D24" s="975"/>
      <c r="E24" s="975"/>
      <c r="F24" s="975"/>
      <c r="G24" s="975"/>
      <c r="H24" s="975"/>
      <c r="I24" s="975"/>
      <c r="J24" s="975"/>
      <c r="K24" s="975"/>
      <c r="L24" s="975"/>
      <c r="M24" s="975"/>
      <c r="N24" s="975"/>
      <c r="O24" s="975"/>
      <c r="P24" s="975"/>
      <c r="Q24" s="975"/>
      <c r="R24" s="975"/>
      <c r="S24" s="975"/>
      <c r="T24" s="975"/>
      <c r="U24" s="24"/>
    </row>
    <row r="25" spans="1:21" ht="15.95" customHeight="1">
      <c r="A25" s="293"/>
      <c r="B25" s="975"/>
      <c r="C25" s="975"/>
      <c r="D25" s="975"/>
      <c r="E25" s="975"/>
      <c r="F25" s="975"/>
      <c r="G25" s="975"/>
      <c r="H25" s="975"/>
      <c r="I25" s="975"/>
      <c r="J25" s="975"/>
      <c r="K25" s="975"/>
      <c r="L25" s="975"/>
      <c r="M25" s="975"/>
      <c r="N25" s="975"/>
      <c r="O25" s="975"/>
      <c r="P25" s="975"/>
      <c r="Q25" s="975"/>
      <c r="R25" s="975"/>
      <c r="S25" s="975"/>
      <c r="T25" s="975"/>
      <c r="U25" s="24"/>
    </row>
    <row r="26" spans="1:21" ht="15.95" customHeight="1">
      <c r="A26" s="293"/>
      <c r="B26" s="975"/>
      <c r="C26" s="975"/>
      <c r="D26" s="975"/>
      <c r="E26" s="975"/>
      <c r="F26" s="975"/>
      <c r="G26" s="975"/>
      <c r="H26" s="975"/>
      <c r="I26" s="975"/>
      <c r="J26" s="975"/>
      <c r="K26" s="975"/>
      <c r="L26" s="975"/>
      <c r="M26" s="975"/>
      <c r="N26" s="975"/>
      <c r="O26" s="975"/>
      <c r="P26" s="975"/>
      <c r="Q26" s="975"/>
      <c r="R26" s="975"/>
      <c r="S26" s="975"/>
      <c r="T26" s="975"/>
      <c r="U26" s="24"/>
    </row>
    <row r="27" spans="1:21" ht="15.95" customHeight="1">
      <c r="A27" s="293"/>
      <c r="B27" s="400"/>
      <c r="C27" s="400"/>
      <c r="D27" s="400"/>
      <c r="E27" s="400"/>
      <c r="F27" s="400"/>
      <c r="G27" s="400"/>
      <c r="H27" s="400"/>
      <c r="I27" s="400"/>
      <c r="J27" s="400"/>
      <c r="K27" s="400"/>
      <c r="L27" s="400"/>
      <c r="M27" s="400"/>
      <c r="N27" s="400"/>
      <c r="O27" s="400"/>
      <c r="P27" s="400"/>
      <c r="Q27" s="400"/>
      <c r="R27" s="400"/>
      <c r="S27" s="400"/>
      <c r="T27" s="400"/>
      <c r="U27" s="24"/>
    </row>
    <row r="28" spans="1:21" ht="15.95" customHeight="1">
      <c r="A28" s="293"/>
      <c r="B28" s="400"/>
      <c r="C28" s="400"/>
      <c r="D28" s="400"/>
      <c r="E28" s="400"/>
      <c r="F28" s="400"/>
      <c r="G28" s="400"/>
      <c r="H28" s="400"/>
      <c r="I28" s="400"/>
      <c r="J28" s="400"/>
      <c r="K28" s="400"/>
      <c r="L28" s="400"/>
      <c r="M28" s="400"/>
      <c r="N28" s="400"/>
      <c r="O28" s="399" t="s">
        <v>22</v>
      </c>
      <c r="P28" s="399"/>
      <c r="Q28" s="399"/>
      <c r="R28" s="400"/>
      <c r="S28" s="400"/>
      <c r="T28" s="400"/>
      <c r="U28" s="24"/>
    </row>
    <row r="29" spans="1:21" ht="15.95" customHeight="1">
      <c r="A29" s="293"/>
      <c r="B29" s="400"/>
      <c r="C29" s="400"/>
      <c r="D29" s="400"/>
      <c r="E29" s="400"/>
      <c r="F29" s="400"/>
      <c r="G29" s="400"/>
      <c r="H29" s="400"/>
      <c r="I29" s="400"/>
      <c r="J29" s="400"/>
      <c r="K29" s="400"/>
      <c r="L29" s="400"/>
      <c r="M29" s="400"/>
      <c r="N29" s="400"/>
      <c r="O29" s="400"/>
      <c r="P29" s="400"/>
      <c r="Q29" s="400"/>
      <c r="R29" s="400"/>
      <c r="S29" s="400"/>
      <c r="T29" s="400"/>
      <c r="U29" s="24"/>
    </row>
    <row r="30" spans="1:21" ht="15.95" customHeight="1">
      <c r="A30" s="293"/>
      <c r="B30" s="400"/>
      <c r="C30" s="400"/>
      <c r="D30" s="400"/>
      <c r="E30" s="400"/>
      <c r="F30" s="400"/>
      <c r="G30" s="400"/>
      <c r="H30" s="400"/>
      <c r="I30" s="400"/>
      <c r="J30" s="400"/>
      <c r="K30" s="400"/>
      <c r="L30" s="400"/>
      <c r="M30" s="400"/>
      <c r="N30" s="400"/>
      <c r="O30" s="400"/>
      <c r="P30" s="400"/>
      <c r="Q30" s="400"/>
      <c r="R30" s="400"/>
      <c r="S30" s="400"/>
      <c r="T30" s="400"/>
      <c r="U30" s="24"/>
    </row>
    <row r="31" spans="1:21" ht="15.95" customHeight="1">
      <c r="A31" s="293"/>
      <c r="B31" s="369"/>
      <c r="C31" s="369"/>
      <c r="D31" s="369"/>
      <c r="E31" s="369"/>
      <c r="F31" s="369"/>
      <c r="G31" s="369"/>
      <c r="H31" s="400"/>
      <c r="I31" s="400"/>
      <c r="J31" s="400"/>
      <c r="K31" s="400"/>
      <c r="L31" s="400"/>
      <c r="M31" s="400"/>
      <c r="N31" s="400"/>
      <c r="O31" s="400"/>
      <c r="P31" s="400"/>
      <c r="Q31" s="400"/>
      <c r="R31" s="400"/>
      <c r="S31" s="400"/>
      <c r="T31" s="400"/>
      <c r="U31" s="24"/>
    </row>
    <row r="32" spans="1:21" ht="15.95" customHeight="1">
      <c r="A32" s="293"/>
      <c r="B32" s="369"/>
      <c r="C32" s="369"/>
      <c r="D32" s="369"/>
      <c r="E32" s="369"/>
      <c r="F32" s="369"/>
      <c r="G32" s="369"/>
      <c r="H32" s="400"/>
      <c r="I32" s="400"/>
      <c r="J32" s="400"/>
      <c r="K32" s="400"/>
      <c r="L32" s="400"/>
      <c r="M32" s="400"/>
      <c r="N32" s="400"/>
      <c r="O32" s="400"/>
      <c r="P32" s="400"/>
      <c r="Q32" s="400"/>
      <c r="R32" s="400"/>
      <c r="S32" s="400"/>
      <c r="T32" s="400"/>
      <c r="U32" s="24"/>
    </row>
    <row r="33" spans="1:21" ht="15.95" customHeight="1">
      <c r="A33" s="293"/>
      <c r="B33" s="369"/>
      <c r="C33" s="369"/>
      <c r="D33" s="369"/>
      <c r="E33" s="369"/>
      <c r="F33" s="369"/>
      <c r="G33" s="369"/>
      <c r="H33" s="400"/>
      <c r="I33" s="400"/>
      <c r="J33" s="400"/>
      <c r="K33" s="400"/>
      <c r="L33" s="400"/>
      <c r="M33" s="400"/>
      <c r="N33" s="400"/>
      <c r="O33" s="369"/>
      <c r="P33" s="369"/>
      <c r="Q33" s="369"/>
      <c r="R33" s="369"/>
      <c r="S33" s="369"/>
      <c r="T33" s="369"/>
      <c r="U33" s="24"/>
    </row>
    <row r="34" spans="1:21" ht="15.95" customHeight="1">
      <c r="A34" s="293"/>
      <c r="B34" s="369"/>
      <c r="C34" s="369"/>
      <c r="D34" s="369"/>
      <c r="E34" s="369"/>
      <c r="F34" s="369"/>
      <c r="G34" s="369"/>
      <c r="H34" s="400"/>
      <c r="I34" s="400"/>
      <c r="J34" s="400"/>
      <c r="K34" s="400"/>
      <c r="L34" s="400"/>
      <c r="M34" s="400"/>
      <c r="N34" s="400"/>
      <c r="O34" s="973">
        <f>'Data Entry'!B35</f>
        <v>0</v>
      </c>
      <c r="P34" s="973"/>
      <c r="Q34" s="973"/>
      <c r="R34" s="973"/>
      <c r="S34" s="973"/>
      <c r="T34" s="973"/>
      <c r="U34" s="24"/>
    </row>
    <row r="35" spans="1:21" ht="15.95" customHeight="1">
      <c r="A35" s="293"/>
      <c r="B35" s="369"/>
      <c r="C35" s="369"/>
      <c r="D35" s="369"/>
      <c r="E35" s="369"/>
      <c r="F35" s="369"/>
      <c r="G35" s="369"/>
      <c r="H35" s="400"/>
      <c r="I35" s="400"/>
      <c r="J35" s="400"/>
      <c r="K35" s="400"/>
      <c r="L35" s="400"/>
      <c r="M35" s="400"/>
      <c r="N35" s="400"/>
      <c r="O35" s="971" t="s">
        <v>23</v>
      </c>
      <c r="P35" s="974"/>
      <c r="Q35" s="974"/>
      <c r="R35" s="974"/>
      <c r="S35" s="974"/>
      <c r="T35" s="974"/>
      <c r="U35" s="24"/>
    </row>
    <row r="36" spans="1:21" ht="15.95" customHeight="1">
      <c r="A36" s="293"/>
      <c r="B36" s="400"/>
      <c r="C36" s="400"/>
      <c r="D36" s="400"/>
      <c r="E36" s="400"/>
      <c r="F36" s="400"/>
      <c r="G36" s="400"/>
      <c r="H36" s="400"/>
      <c r="I36" s="400"/>
      <c r="J36" s="400"/>
      <c r="K36" s="400"/>
      <c r="L36" s="400"/>
      <c r="M36" s="400"/>
      <c r="N36" s="400"/>
      <c r="O36" s="400"/>
      <c r="P36" s="400"/>
      <c r="Q36" s="400"/>
      <c r="R36" s="400"/>
      <c r="S36" s="400"/>
      <c r="T36" s="400"/>
      <c r="U36" s="24"/>
    </row>
    <row r="37" spans="1:21" ht="15.95" customHeight="1">
      <c r="A37" s="293"/>
      <c r="B37" s="400"/>
      <c r="C37" s="400"/>
      <c r="D37" s="400"/>
      <c r="E37" s="400"/>
      <c r="F37" s="400"/>
      <c r="G37" s="400"/>
      <c r="H37" s="400"/>
      <c r="I37" s="400"/>
      <c r="J37" s="400"/>
      <c r="K37" s="400"/>
      <c r="L37" s="400"/>
      <c r="M37" s="400"/>
      <c r="N37" s="400"/>
      <c r="O37" s="400"/>
      <c r="P37" s="400"/>
      <c r="Q37" s="400"/>
      <c r="R37" s="400"/>
      <c r="S37" s="400"/>
      <c r="T37" s="400"/>
      <c r="U37" s="24"/>
    </row>
    <row r="38" spans="1:21" ht="15.95" customHeight="1">
      <c r="A38" s="293"/>
      <c r="B38" s="400"/>
      <c r="C38" s="400"/>
      <c r="D38" s="400"/>
      <c r="E38" s="400"/>
      <c r="F38" s="400"/>
      <c r="G38" s="400"/>
      <c r="H38" s="400"/>
      <c r="I38" s="400"/>
      <c r="J38" s="400"/>
      <c r="K38" s="400"/>
      <c r="L38" s="400"/>
      <c r="M38" s="400"/>
      <c r="N38" s="400"/>
      <c r="O38" s="400"/>
      <c r="P38" s="400"/>
      <c r="Q38" s="400"/>
      <c r="R38" s="400"/>
      <c r="S38" s="400"/>
      <c r="T38" s="400"/>
      <c r="U38" s="24"/>
    </row>
    <row r="39" spans="1:21" ht="15.95" customHeight="1">
      <c r="A39" s="293"/>
      <c r="B39" s="400"/>
      <c r="C39" s="400"/>
      <c r="D39" s="400"/>
      <c r="E39" s="400"/>
      <c r="F39" s="400"/>
      <c r="G39" s="400"/>
      <c r="H39" s="400"/>
      <c r="I39" s="400"/>
      <c r="J39" s="400"/>
      <c r="K39" s="400"/>
      <c r="L39" s="400"/>
      <c r="M39" s="400"/>
      <c r="N39" s="400"/>
      <c r="O39" s="400"/>
      <c r="P39" s="400"/>
      <c r="Q39" s="400"/>
      <c r="R39" s="400"/>
      <c r="S39" s="400"/>
      <c r="T39" s="400"/>
      <c r="U39" s="24"/>
    </row>
    <row r="40" spans="1:21" ht="15.95" customHeight="1">
      <c r="A40" s="293"/>
      <c r="B40" s="369"/>
      <c r="C40" s="400"/>
      <c r="D40" s="400"/>
      <c r="E40" s="400"/>
      <c r="F40" s="400"/>
      <c r="G40" s="400"/>
      <c r="H40" s="400"/>
      <c r="I40" s="400"/>
      <c r="J40" s="400"/>
      <c r="K40" s="400"/>
      <c r="L40" s="400"/>
      <c r="M40" s="400"/>
      <c r="N40" s="400"/>
      <c r="O40" s="400"/>
      <c r="P40" s="400"/>
      <c r="Q40" s="400"/>
      <c r="R40" s="400"/>
      <c r="S40" s="400"/>
      <c r="T40" s="400"/>
      <c r="U40" s="24"/>
    </row>
    <row r="41" spans="1:21" ht="15.95" customHeight="1">
      <c r="A41" s="293"/>
      <c r="B41" s="970" t="s">
        <v>142</v>
      </c>
      <c r="C41" s="970"/>
      <c r="D41" s="970"/>
      <c r="E41" s="970"/>
      <c r="F41" s="970"/>
      <c r="G41" s="970"/>
      <c r="H41" s="970"/>
      <c r="I41" s="970"/>
      <c r="J41" s="970"/>
      <c r="K41" s="970"/>
      <c r="L41" s="970"/>
      <c r="M41" s="970"/>
      <c r="N41" s="970"/>
      <c r="O41" s="970"/>
      <c r="P41" s="970"/>
      <c r="Q41" s="970"/>
      <c r="R41" s="970"/>
      <c r="S41" s="970"/>
      <c r="T41" s="970"/>
      <c r="U41" s="24"/>
    </row>
    <row r="42" spans="1:21" ht="15.95" customHeight="1">
      <c r="A42" s="293"/>
      <c r="B42" s="971" t="s">
        <v>143</v>
      </c>
      <c r="C42" s="971"/>
      <c r="D42" s="971"/>
      <c r="E42" s="971"/>
      <c r="F42" s="971"/>
      <c r="G42" s="971"/>
      <c r="H42" s="971"/>
      <c r="I42" s="971"/>
      <c r="J42" s="971"/>
      <c r="K42" s="971"/>
      <c r="L42" s="971"/>
      <c r="M42" s="971"/>
      <c r="N42" s="971"/>
      <c r="O42" s="971"/>
      <c r="P42" s="971"/>
      <c r="Q42" s="971"/>
      <c r="R42" s="971"/>
      <c r="S42" s="971"/>
      <c r="T42" s="971"/>
      <c r="U42" s="24"/>
    </row>
    <row r="43" spans="1:21" ht="15.95" customHeight="1" thickBot="1">
      <c r="A43" s="36"/>
      <c r="B43" s="37"/>
      <c r="C43" s="406"/>
      <c r="D43" s="406"/>
      <c r="E43" s="406"/>
      <c r="F43" s="406"/>
      <c r="G43" s="406"/>
      <c r="H43" s="406"/>
      <c r="I43" s="406"/>
      <c r="J43" s="406"/>
      <c r="K43" s="406"/>
      <c r="L43" s="406"/>
      <c r="M43" s="406"/>
      <c r="N43" s="406"/>
      <c r="O43" s="406"/>
      <c r="P43" s="406"/>
      <c r="Q43" s="406"/>
      <c r="R43" s="406"/>
      <c r="S43" s="406"/>
      <c r="T43" s="37"/>
      <c r="U43" s="38"/>
    </row>
  </sheetData>
  <mergeCells count="39">
    <mergeCell ref="M8:O8"/>
    <mergeCell ref="F1:O2"/>
    <mergeCell ref="P1:R1"/>
    <mergeCell ref="S1:U1"/>
    <mergeCell ref="X1:AF2"/>
    <mergeCell ref="P2:R2"/>
    <mergeCell ref="S2:U2"/>
    <mergeCell ref="K17:P17"/>
    <mergeCell ref="X3:AF11"/>
    <mergeCell ref="B4:J4"/>
    <mergeCell ref="M4:O4"/>
    <mergeCell ref="P4:T4"/>
    <mergeCell ref="B5:J5"/>
    <mergeCell ref="M5:O5"/>
    <mergeCell ref="P5:T5"/>
    <mergeCell ref="B6:J6"/>
    <mergeCell ref="M6:O6"/>
    <mergeCell ref="P6:T6"/>
    <mergeCell ref="B7:J7"/>
    <mergeCell ref="M7:O7"/>
    <mergeCell ref="B8:J8"/>
    <mergeCell ref="B9:J9"/>
    <mergeCell ref="P7:T7"/>
    <mergeCell ref="Q17:T17"/>
    <mergeCell ref="P8:Q8"/>
    <mergeCell ref="R8:T8"/>
    <mergeCell ref="B41:T41"/>
    <mergeCell ref="B42:T42"/>
    <mergeCell ref="B13:T14"/>
    <mergeCell ref="O34:T34"/>
    <mergeCell ref="O35:T35"/>
    <mergeCell ref="B21:T26"/>
    <mergeCell ref="B18:H18"/>
    <mergeCell ref="K18:P18"/>
    <mergeCell ref="B19:T19"/>
    <mergeCell ref="G15:I15"/>
    <mergeCell ref="G16:I16"/>
    <mergeCell ref="B17:H17"/>
    <mergeCell ref="I17:J17"/>
  </mergeCells>
  <conditionalFormatting sqref="B4:J4">
    <cfRule type="cellIs" dxfId="5" priority="1" operator="equal">
      <formula>0</formula>
    </cfRule>
  </conditionalFormatting>
  <pageMargins left="3.937007874015748E-2" right="3.937007874015748E-2" top="0.74803149606299213" bottom="0.74803149606299213" header="0.31496062992125984" footer="0.31496062992125984"/>
  <pageSetup paperSize="9"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2DD96399-F615-48CC-8040-A9B39CAAB58B}">
          <x14:formula1>
            <xm:f>'Data Entry'!$B$11:$C$11</xm:f>
          </x14:formula1>
          <xm:sqref>P5:T5</xm:sqref>
        </x14:dataValidation>
        <x14:dataValidation type="list" allowBlank="1" showInputMessage="1" showErrorMessage="1" xr:uid="{B3386B14-8A9A-4C2C-826E-95F98A7037DA}">
          <x14:formula1>
            <xm:f>'Data Entry'!$B$13:$C$13</xm:f>
          </x14:formula1>
          <xm:sqref>B4:J4</xm:sqref>
        </x14:dataValidation>
        <x14:dataValidation type="list" allowBlank="1" showInputMessage="1" showErrorMessage="1" xr:uid="{FBEE872D-C560-4F6A-96F9-4F998EB4913A}">
          <x14:formula1>
            <xm:f>'Data Entry'!$B$15:$C$15</xm:f>
          </x14:formula1>
          <xm:sqref>R8:T8</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48452-4D7F-4AB9-A05C-F3609B54D40B}">
  <sheetPr>
    <tabColor rgb="FF92D050"/>
  </sheetPr>
  <dimension ref="A1:AF59"/>
  <sheetViews>
    <sheetView topLeftCell="A4" workbookViewId="0">
      <selection activeCell="V15" sqref="V15"/>
    </sheetView>
  </sheetViews>
  <sheetFormatPr baseColWidth="10" defaultColWidth="9" defaultRowHeight="12.75"/>
  <cols>
    <col min="1" max="20" width="4.85546875" style="1" customWidth="1"/>
    <col min="21" max="21" width="4.28515625" style="1" customWidth="1"/>
    <col min="22" max="22" width="9" style="339"/>
    <col min="23" max="23" width="4.85546875" style="339" customWidth="1"/>
    <col min="24" max="24" width="11.28515625" style="339" customWidth="1"/>
    <col min="25" max="25" width="12.42578125" style="339" customWidth="1"/>
    <col min="26" max="26" width="13.42578125" style="339" customWidth="1"/>
    <col min="27" max="27" width="14.7109375" style="339" customWidth="1"/>
    <col min="28" max="28" width="14" style="339" customWidth="1"/>
    <col min="29" max="29" width="11.42578125" style="339" customWidth="1"/>
    <col min="30" max="30" width="20.42578125" style="339" customWidth="1"/>
    <col min="31" max="34" width="4.85546875" style="339" customWidth="1"/>
    <col min="35" max="16384" width="9" style="339"/>
  </cols>
  <sheetData>
    <row r="1" spans="1:32" ht="21" customHeight="1">
      <c r="A1" s="358"/>
      <c r="B1" s="297"/>
      <c r="C1" s="297"/>
      <c r="D1" s="297"/>
      <c r="E1" s="297"/>
      <c r="F1" s="990" t="s">
        <v>503</v>
      </c>
      <c r="G1" s="990"/>
      <c r="H1" s="990"/>
      <c r="I1" s="990"/>
      <c r="J1" s="990"/>
      <c r="K1" s="990"/>
      <c r="L1" s="990"/>
      <c r="M1" s="990"/>
      <c r="N1" s="990"/>
      <c r="O1" s="991"/>
      <c r="P1" s="593"/>
      <c r="Q1" s="594"/>
      <c r="R1" s="596"/>
      <c r="S1" s="593" t="s">
        <v>2</v>
      </c>
      <c r="T1" s="594"/>
      <c r="U1" s="595"/>
      <c r="X1" s="530" t="s">
        <v>450</v>
      </c>
      <c r="Y1" s="531"/>
      <c r="Z1" s="531"/>
      <c r="AA1" s="531"/>
      <c r="AB1" s="531"/>
      <c r="AC1" s="531"/>
      <c r="AD1" s="531"/>
      <c r="AE1" s="531"/>
      <c r="AF1" s="532"/>
    </row>
    <row r="2" spans="1:32" ht="21" customHeight="1" thickBot="1">
      <c r="A2" s="10"/>
      <c r="B2" s="11"/>
      <c r="C2" s="11"/>
      <c r="D2" s="11"/>
      <c r="E2" s="11"/>
      <c r="F2" s="992"/>
      <c r="G2" s="992"/>
      <c r="H2" s="992"/>
      <c r="I2" s="992"/>
      <c r="J2" s="992"/>
      <c r="K2" s="992"/>
      <c r="L2" s="992"/>
      <c r="M2" s="992"/>
      <c r="N2" s="992"/>
      <c r="O2" s="993"/>
      <c r="P2" s="585" t="s">
        <v>514</v>
      </c>
      <c r="Q2" s="586"/>
      <c r="R2" s="587"/>
      <c r="S2" s="486" t="s">
        <v>572</v>
      </c>
      <c r="T2" s="487"/>
      <c r="U2" s="488"/>
      <c r="X2" s="533"/>
      <c r="Y2" s="534"/>
      <c r="Z2" s="534"/>
      <c r="AA2" s="534"/>
      <c r="AB2" s="534"/>
      <c r="AC2" s="534"/>
      <c r="AD2" s="534"/>
      <c r="AE2" s="534"/>
      <c r="AF2" s="535"/>
    </row>
    <row r="3" spans="1:32" ht="15.95" customHeight="1">
      <c r="A3" s="293"/>
      <c r="B3" s="359"/>
      <c r="C3" s="359"/>
      <c r="D3" s="359"/>
      <c r="E3" s="359"/>
      <c r="F3" s="359"/>
      <c r="G3" s="359"/>
      <c r="H3" s="359"/>
      <c r="I3" s="359"/>
      <c r="J3" s="360"/>
      <c r="K3" s="360"/>
      <c r="L3" s="360"/>
      <c r="M3" s="360"/>
      <c r="N3" s="360"/>
      <c r="O3" s="361"/>
      <c r="P3" s="362"/>
      <c r="Q3" s="363"/>
      <c r="R3" s="363"/>
      <c r="S3" s="363"/>
      <c r="T3" s="363"/>
      <c r="U3" s="21"/>
      <c r="X3" s="566" t="s">
        <v>557</v>
      </c>
      <c r="Y3" s="567"/>
      <c r="Z3" s="567"/>
      <c r="AA3" s="567"/>
      <c r="AB3" s="567"/>
      <c r="AC3" s="567"/>
      <c r="AD3" s="567"/>
      <c r="AE3" s="567"/>
      <c r="AF3" s="568"/>
    </row>
    <row r="4" spans="1:32" ht="15.95" customHeight="1">
      <c r="A4" s="315" t="s">
        <v>4</v>
      </c>
      <c r="B4" s="606"/>
      <c r="C4" s="588"/>
      <c r="D4" s="588"/>
      <c r="E4" s="588"/>
      <c r="F4" s="588"/>
      <c r="G4" s="588"/>
      <c r="H4" s="588"/>
      <c r="I4" s="588"/>
      <c r="J4" s="588"/>
      <c r="K4" s="364"/>
      <c r="L4" s="364"/>
      <c r="M4" s="581" t="s">
        <v>5</v>
      </c>
      <c r="N4" s="581"/>
      <c r="O4" s="581"/>
      <c r="P4" s="605" t="str">
        <f>IF('Data Entry'!B8="","",'Data Entry'!B8)</f>
        <v/>
      </c>
      <c r="Q4" s="605"/>
      <c r="R4" s="605"/>
      <c r="S4" s="605"/>
      <c r="T4" s="605"/>
      <c r="U4" s="24"/>
      <c r="X4" s="569"/>
      <c r="Y4" s="570"/>
      <c r="Z4" s="570"/>
      <c r="AA4" s="570"/>
      <c r="AB4" s="570"/>
      <c r="AC4" s="570"/>
      <c r="AD4" s="570"/>
      <c r="AE4" s="570"/>
      <c r="AF4" s="571"/>
    </row>
    <row r="5" spans="1:32" ht="15.95" customHeight="1">
      <c r="A5" s="294"/>
      <c r="B5" s="588" t="str">
        <f>IF('Data Entry'!B19="","",'Data Entry'!B19)</f>
        <v/>
      </c>
      <c r="C5" s="588"/>
      <c r="D5" s="588"/>
      <c r="E5" s="588"/>
      <c r="F5" s="588"/>
      <c r="G5" s="588"/>
      <c r="H5" s="588"/>
      <c r="I5" s="588"/>
      <c r="J5" s="588"/>
      <c r="K5" s="364"/>
      <c r="L5" s="364"/>
      <c r="M5" s="581" t="s">
        <v>7</v>
      </c>
      <c r="N5" s="581"/>
      <c r="O5" s="581"/>
      <c r="P5" s="597"/>
      <c r="Q5" s="597"/>
      <c r="R5" s="597"/>
      <c r="S5" s="597"/>
      <c r="T5" s="597"/>
      <c r="U5" s="24"/>
      <c r="X5" s="569"/>
      <c r="Y5" s="570"/>
      <c r="Z5" s="570"/>
      <c r="AA5" s="570"/>
      <c r="AB5" s="570"/>
      <c r="AC5" s="570"/>
      <c r="AD5" s="570"/>
      <c r="AE5" s="570"/>
      <c r="AF5" s="571"/>
    </row>
    <row r="6" spans="1:32" ht="15.95" customHeight="1">
      <c r="A6" s="294"/>
      <c r="B6" s="588" t="str">
        <f>IF('Data Entry'!B29="","",'Data Entry'!B29)</f>
        <v/>
      </c>
      <c r="C6" s="588"/>
      <c r="D6" s="588"/>
      <c r="E6" s="588"/>
      <c r="F6" s="588"/>
      <c r="G6" s="588"/>
      <c r="H6" s="588"/>
      <c r="I6" s="588"/>
      <c r="J6" s="588"/>
      <c r="K6" s="364"/>
      <c r="L6" s="364"/>
      <c r="M6" s="581" t="s">
        <v>8</v>
      </c>
      <c r="N6" s="581"/>
      <c r="O6" s="581"/>
      <c r="P6" s="597" t="str">
        <f>IF('Data Entry'!B17="","",'Data Entry'!B17)</f>
        <v/>
      </c>
      <c r="Q6" s="597"/>
      <c r="R6" s="597"/>
      <c r="S6" s="597"/>
      <c r="T6" s="597"/>
      <c r="U6" s="24"/>
      <c r="W6" s="26"/>
      <c r="X6" s="569"/>
      <c r="Y6" s="570"/>
      <c r="Z6" s="570"/>
      <c r="AA6" s="570"/>
      <c r="AB6" s="570"/>
      <c r="AC6" s="570"/>
      <c r="AD6" s="570"/>
      <c r="AE6" s="570"/>
      <c r="AF6" s="571"/>
    </row>
    <row r="7" spans="1:32" ht="15.95" customHeight="1">
      <c r="A7" s="294"/>
      <c r="B7" s="588" t="str">
        <f>IF('Data Entry'!B33="","",'Data Entry'!B33)</f>
        <v/>
      </c>
      <c r="C7" s="588"/>
      <c r="D7" s="588"/>
      <c r="E7" s="588"/>
      <c r="F7" s="588"/>
      <c r="G7" s="588"/>
      <c r="H7" s="588"/>
      <c r="I7" s="588"/>
      <c r="J7" s="588"/>
      <c r="K7" s="364"/>
      <c r="L7" s="364"/>
      <c r="M7" s="581" t="s">
        <v>515</v>
      </c>
      <c r="N7" s="581"/>
      <c r="O7" s="581"/>
      <c r="P7" s="582" t="str">
        <f>IF('Data Entry'!B23="","",'Data Entry'!B23)</f>
        <v/>
      </c>
      <c r="Q7" s="582"/>
      <c r="R7" s="582"/>
      <c r="S7" s="582"/>
      <c r="T7" s="582"/>
      <c r="U7" s="24"/>
      <c r="X7" s="569"/>
      <c r="Y7" s="570"/>
      <c r="Z7" s="570"/>
      <c r="AA7" s="570"/>
      <c r="AB7" s="570"/>
      <c r="AC7" s="570"/>
      <c r="AD7" s="570"/>
      <c r="AE7" s="570"/>
      <c r="AF7" s="571"/>
    </row>
    <row r="8" spans="1:32" ht="15.95" customHeight="1">
      <c r="A8" s="293"/>
      <c r="B8" s="588" t="str">
        <f>IF('Data Entry'!B31="","",'Data Entry'!B31)</f>
        <v/>
      </c>
      <c r="C8" s="588"/>
      <c r="D8" s="588"/>
      <c r="E8" s="588"/>
      <c r="F8" s="588"/>
      <c r="G8" s="588"/>
      <c r="H8" s="588"/>
      <c r="I8" s="588"/>
      <c r="J8" s="588"/>
      <c r="K8" s="364"/>
      <c r="L8" s="364"/>
      <c r="M8" s="581" t="s">
        <v>9</v>
      </c>
      <c r="N8" s="581"/>
      <c r="O8" s="581"/>
      <c r="P8" s="582" t="s">
        <v>391</v>
      </c>
      <c r="Q8" s="582"/>
      <c r="R8" s="583"/>
      <c r="S8" s="583"/>
      <c r="T8" s="583"/>
      <c r="U8" s="24"/>
      <c r="X8" s="569"/>
      <c r="Y8" s="570"/>
      <c r="Z8" s="570"/>
      <c r="AA8" s="570"/>
      <c r="AB8" s="570"/>
      <c r="AC8" s="570"/>
      <c r="AD8" s="570"/>
      <c r="AE8" s="570"/>
      <c r="AF8" s="571"/>
    </row>
    <row r="9" spans="1:32" ht="15.95" customHeight="1">
      <c r="A9" s="293"/>
      <c r="B9" s="588" t="s">
        <v>566</v>
      </c>
      <c r="C9" s="588"/>
      <c r="D9" s="588"/>
      <c r="E9" s="588"/>
      <c r="F9" s="588"/>
      <c r="G9" s="588"/>
      <c r="H9" s="588"/>
      <c r="I9" s="588"/>
      <c r="J9" s="588"/>
      <c r="K9" s="364"/>
      <c r="L9" s="364"/>
      <c r="M9" s="364"/>
      <c r="N9" s="364"/>
      <c r="O9" s="364"/>
      <c r="P9" s="364"/>
      <c r="Q9" s="365"/>
      <c r="R9" s="365"/>
      <c r="S9" s="365"/>
      <c r="T9" s="365"/>
      <c r="U9" s="24"/>
      <c r="X9" s="569"/>
      <c r="Y9" s="570"/>
      <c r="Z9" s="570"/>
      <c r="AA9" s="570"/>
      <c r="AB9" s="570"/>
      <c r="AC9" s="570"/>
      <c r="AD9" s="570"/>
      <c r="AE9" s="570"/>
      <c r="AF9" s="571"/>
    </row>
    <row r="10" spans="1:32" ht="15.95" customHeight="1">
      <c r="A10" s="293"/>
      <c r="B10" s="380"/>
      <c r="C10" s="380"/>
      <c r="D10" s="380"/>
      <c r="E10" s="380"/>
      <c r="F10" s="380"/>
      <c r="G10" s="380"/>
      <c r="H10" s="380"/>
      <c r="I10" s="380"/>
      <c r="J10" s="380"/>
      <c r="K10" s="364"/>
      <c r="L10" s="364"/>
      <c r="M10" s="364"/>
      <c r="N10" s="364"/>
      <c r="O10" s="364"/>
      <c r="P10" s="364"/>
      <c r="Q10" s="365"/>
      <c r="R10" s="365"/>
      <c r="S10" s="365"/>
      <c r="T10" s="365"/>
      <c r="U10" s="24"/>
      <c r="X10" s="569"/>
      <c r="Y10" s="570"/>
      <c r="Z10" s="570"/>
      <c r="AA10" s="570"/>
      <c r="AB10" s="570"/>
      <c r="AC10" s="570"/>
      <c r="AD10" s="570"/>
      <c r="AE10" s="570"/>
      <c r="AF10" s="571"/>
    </row>
    <row r="11" spans="1:32" ht="15.95" customHeight="1">
      <c r="A11" s="293"/>
      <c r="B11" s="366"/>
      <c r="C11" s="366"/>
      <c r="D11" s="364"/>
      <c r="E11" s="364"/>
      <c r="F11" s="364"/>
      <c r="G11" s="364"/>
      <c r="H11" s="369"/>
      <c r="I11" s="369"/>
      <c r="J11" s="369"/>
      <c r="K11" s="364"/>
      <c r="L11" s="364"/>
      <c r="M11" s="364"/>
      <c r="N11" s="364"/>
      <c r="O11" s="364"/>
      <c r="P11" s="364"/>
      <c r="Q11" s="365"/>
      <c r="R11" s="365"/>
      <c r="S11" s="365"/>
      <c r="T11" s="365"/>
      <c r="U11" s="24"/>
      <c r="X11" s="569"/>
      <c r="Y11" s="570"/>
      <c r="Z11" s="570"/>
      <c r="AA11" s="570"/>
      <c r="AB11" s="570"/>
      <c r="AC11" s="570"/>
      <c r="AD11" s="570"/>
      <c r="AE11" s="570"/>
      <c r="AF11" s="571"/>
    </row>
    <row r="12" spans="1:32" ht="15.95" customHeight="1">
      <c r="A12" s="407"/>
      <c r="B12" s="986" t="s">
        <v>149</v>
      </c>
      <c r="C12" s="986"/>
      <c r="D12" s="986"/>
      <c r="E12" s="986"/>
      <c r="F12" s="986"/>
      <c r="G12" s="986"/>
      <c r="H12" s="986"/>
      <c r="I12" s="986"/>
      <c r="J12" s="986"/>
      <c r="K12" s="986"/>
      <c r="L12" s="986"/>
      <c r="M12" s="986"/>
      <c r="N12" s="986"/>
      <c r="O12" s="986"/>
      <c r="P12" s="986"/>
      <c r="Q12" s="986"/>
      <c r="R12" s="986"/>
      <c r="S12" s="986"/>
      <c r="T12" s="986"/>
      <c r="U12" s="24"/>
      <c r="X12" s="569"/>
      <c r="Y12" s="570"/>
      <c r="Z12" s="570"/>
      <c r="AA12" s="570"/>
      <c r="AB12" s="570"/>
      <c r="AC12" s="570"/>
      <c r="AD12" s="570"/>
      <c r="AE12" s="570"/>
      <c r="AF12" s="571"/>
    </row>
    <row r="13" spans="1:32" ht="15.95" customHeight="1">
      <c r="A13" s="407"/>
      <c r="B13" s="408"/>
      <c r="C13" s="408"/>
      <c r="D13" s="408"/>
      <c r="E13" s="408"/>
      <c r="F13" s="408"/>
      <c r="G13" s="408"/>
      <c r="H13" s="408"/>
      <c r="I13" s="408"/>
      <c r="J13" s="408"/>
      <c r="K13" s="408"/>
      <c r="L13" s="408"/>
      <c r="M13" s="408"/>
      <c r="N13" s="408"/>
      <c r="O13" s="408"/>
      <c r="P13" s="408"/>
      <c r="Q13" s="408"/>
      <c r="R13" s="408"/>
      <c r="S13" s="408"/>
      <c r="T13" s="408"/>
      <c r="U13" s="24"/>
      <c r="X13" s="569"/>
      <c r="Y13" s="570"/>
      <c r="Z13" s="570"/>
      <c r="AA13" s="570"/>
      <c r="AB13" s="570"/>
      <c r="AC13" s="570"/>
      <c r="AD13" s="570"/>
      <c r="AE13" s="570"/>
      <c r="AF13" s="571"/>
    </row>
    <row r="14" spans="1:32" ht="15.95" customHeight="1">
      <c r="A14" s="407"/>
      <c r="B14" s="408"/>
      <c r="C14" s="408"/>
      <c r="D14" s="408"/>
      <c r="E14" s="408"/>
      <c r="F14" s="408"/>
      <c r="G14" s="408"/>
      <c r="H14" s="408"/>
      <c r="I14" s="408"/>
      <c r="J14" s="408"/>
      <c r="K14" s="408"/>
      <c r="L14" s="408"/>
      <c r="M14" s="987" t="s">
        <v>504</v>
      </c>
      <c r="N14" s="988"/>
      <c r="O14" s="988"/>
      <c r="P14" s="988"/>
      <c r="Q14" s="988"/>
      <c r="R14" s="988"/>
      <c r="S14" s="988"/>
      <c r="T14" s="988"/>
      <c r="U14" s="24"/>
      <c r="X14" s="569"/>
      <c r="Y14" s="570"/>
      <c r="Z14" s="570"/>
      <c r="AA14" s="570"/>
      <c r="AB14" s="570"/>
      <c r="AC14" s="570"/>
      <c r="AD14" s="570"/>
      <c r="AE14" s="570"/>
      <c r="AF14" s="571"/>
    </row>
    <row r="15" spans="1:32" ht="15.95" customHeight="1">
      <c r="A15" s="407"/>
      <c r="B15" s="454"/>
      <c r="C15" s="365"/>
      <c r="D15" s="975" t="s">
        <v>392</v>
      </c>
      <c r="E15" s="975"/>
      <c r="F15" s="975"/>
      <c r="G15" s="975"/>
      <c r="H15" s="975"/>
      <c r="I15" s="975"/>
      <c r="J15" s="975"/>
      <c r="K15" s="975"/>
      <c r="L15" s="376"/>
      <c r="M15" s="979"/>
      <c r="N15" s="979"/>
      <c r="O15" s="979"/>
      <c r="P15" s="979"/>
      <c r="Q15" s="979"/>
      <c r="R15" s="979"/>
      <c r="S15" s="979"/>
      <c r="T15" s="979"/>
      <c r="U15" s="24"/>
      <c r="X15" s="569"/>
      <c r="Y15" s="570"/>
      <c r="Z15" s="570"/>
      <c r="AA15" s="570"/>
      <c r="AB15" s="570"/>
      <c r="AC15" s="570"/>
      <c r="AD15" s="570"/>
      <c r="AE15" s="570"/>
      <c r="AF15" s="571"/>
    </row>
    <row r="16" spans="1:32" ht="15.95" customHeight="1">
      <c r="A16" s="407"/>
      <c r="B16" s="408"/>
      <c r="C16" s="408"/>
      <c r="D16" s="408"/>
      <c r="E16" s="408"/>
      <c r="F16" s="408"/>
      <c r="G16" s="408"/>
      <c r="H16" s="408"/>
      <c r="I16" s="408"/>
      <c r="J16" s="408"/>
      <c r="K16" s="408"/>
      <c r="L16" s="408"/>
      <c r="M16" s="408"/>
      <c r="N16" s="408"/>
      <c r="O16" s="408"/>
      <c r="P16" s="408"/>
      <c r="Q16" s="408"/>
      <c r="R16" s="408"/>
      <c r="S16" s="408"/>
      <c r="T16" s="408"/>
      <c r="U16" s="402"/>
      <c r="X16" s="569"/>
      <c r="Y16" s="570"/>
      <c r="Z16" s="570"/>
      <c r="AA16" s="570"/>
      <c r="AB16" s="570"/>
      <c r="AC16" s="570"/>
      <c r="AD16" s="570"/>
      <c r="AE16" s="570"/>
      <c r="AF16" s="571"/>
    </row>
    <row r="17" spans="1:32" ht="15.95" customHeight="1">
      <c r="A17" s="407"/>
      <c r="B17" s="454"/>
      <c r="C17" s="365"/>
      <c r="D17" s="975" t="s">
        <v>480</v>
      </c>
      <c r="E17" s="975"/>
      <c r="F17" s="975"/>
      <c r="G17" s="975"/>
      <c r="H17" s="975"/>
      <c r="I17" s="975"/>
      <c r="J17" s="975"/>
      <c r="K17" s="975"/>
      <c r="L17" s="376"/>
      <c r="M17" s="979"/>
      <c r="N17" s="979"/>
      <c r="O17" s="979"/>
      <c r="P17" s="979"/>
      <c r="Q17" s="979"/>
      <c r="R17" s="979"/>
      <c r="S17" s="979"/>
      <c r="T17" s="979"/>
      <c r="U17" s="24"/>
      <c r="X17" s="569"/>
      <c r="Y17" s="570"/>
      <c r="Z17" s="570"/>
      <c r="AA17" s="570"/>
      <c r="AB17" s="570"/>
      <c r="AC17" s="570"/>
      <c r="AD17" s="570"/>
      <c r="AE17" s="570"/>
      <c r="AF17" s="571"/>
    </row>
    <row r="18" spans="1:32" ht="15.95" customHeight="1">
      <c r="A18" s="407"/>
      <c r="B18" s="408"/>
      <c r="C18" s="408"/>
      <c r="D18" s="408"/>
      <c r="E18" s="408"/>
      <c r="F18" s="408"/>
      <c r="G18" s="408"/>
      <c r="H18" s="408"/>
      <c r="I18" s="408"/>
      <c r="J18" s="408"/>
      <c r="K18" s="408"/>
      <c r="L18" s="408"/>
      <c r="M18" s="408"/>
      <c r="N18" s="408"/>
      <c r="O18" s="408"/>
      <c r="P18" s="408"/>
      <c r="Q18" s="408"/>
      <c r="R18" s="408"/>
      <c r="S18" s="408"/>
      <c r="T18" s="408"/>
      <c r="U18" s="402"/>
      <c r="X18" s="569"/>
      <c r="Y18" s="570"/>
      <c r="Z18" s="570"/>
      <c r="AA18" s="570"/>
      <c r="AB18" s="570"/>
      <c r="AC18" s="570"/>
      <c r="AD18" s="570"/>
      <c r="AE18" s="570"/>
      <c r="AF18" s="571"/>
    </row>
    <row r="19" spans="1:32" ht="15.95" customHeight="1">
      <c r="A19" s="407"/>
      <c r="B19" s="454"/>
      <c r="C19" s="365"/>
      <c r="D19" s="975" t="s">
        <v>393</v>
      </c>
      <c r="E19" s="975"/>
      <c r="F19" s="975"/>
      <c r="G19" s="975"/>
      <c r="H19" s="975"/>
      <c r="I19" s="975"/>
      <c r="J19" s="975"/>
      <c r="K19" s="975"/>
      <c r="L19" s="376"/>
      <c r="M19" s="979"/>
      <c r="N19" s="979"/>
      <c r="O19" s="979"/>
      <c r="P19" s="979"/>
      <c r="Q19" s="979"/>
      <c r="R19" s="979"/>
      <c r="S19" s="979"/>
      <c r="T19" s="979"/>
      <c r="U19" s="24"/>
      <c r="X19" s="569"/>
      <c r="Y19" s="570"/>
      <c r="Z19" s="570"/>
      <c r="AA19" s="570"/>
      <c r="AB19" s="570"/>
      <c r="AC19" s="570"/>
      <c r="AD19" s="570"/>
      <c r="AE19" s="570"/>
      <c r="AF19" s="571"/>
    </row>
    <row r="20" spans="1:32" ht="15.95" customHeight="1">
      <c r="A20" s="407"/>
      <c r="B20" s="408"/>
      <c r="C20" s="408"/>
      <c r="D20" s="986" t="s">
        <v>481</v>
      </c>
      <c r="E20" s="986"/>
      <c r="F20" s="986"/>
      <c r="G20" s="986"/>
      <c r="H20" s="986"/>
      <c r="I20" s="986"/>
      <c r="J20" s="986"/>
      <c r="K20" s="408"/>
      <c r="L20" s="408"/>
      <c r="M20" s="408"/>
      <c r="N20" s="408"/>
      <c r="O20" s="408"/>
      <c r="P20" s="408"/>
      <c r="Q20" s="408"/>
      <c r="R20" s="408"/>
      <c r="S20" s="408"/>
      <c r="T20" s="408"/>
      <c r="U20" s="24"/>
      <c r="X20" s="569"/>
      <c r="Y20" s="570"/>
      <c r="Z20" s="570"/>
      <c r="AA20" s="570"/>
      <c r="AB20" s="570"/>
      <c r="AC20" s="570"/>
      <c r="AD20" s="570"/>
      <c r="AE20" s="570"/>
      <c r="AF20" s="571"/>
    </row>
    <row r="21" spans="1:32" ht="15.95" customHeight="1">
      <c r="A21" s="407"/>
      <c r="B21" s="408"/>
      <c r="C21" s="408"/>
      <c r="D21" s="408"/>
      <c r="E21" s="408"/>
      <c r="F21" s="408"/>
      <c r="G21" s="408"/>
      <c r="H21" s="408"/>
      <c r="I21" s="408"/>
      <c r="J21" s="408"/>
      <c r="K21" s="408"/>
      <c r="L21" s="408"/>
      <c r="M21" s="408"/>
      <c r="N21" s="408"/>
      <c r="O21" s="408"/>
      <c r="P21" s="408"/>
      <c r="Q21" s="408"/>
      <c r="R21" s="408"/>
      <c r="S21" s="408"/>
      <c r="T21" s="408"/>
      <c r="U21" s="24"/>
      <c r="X21" s="569"/>
      <c r="Y21" s="570"/>
      <c r="Z21" s="570"/>
      <c r="AA21" s="570"/>
      <c r="AB21" s="570"/>
      <c r="AC21" s="570"/>
      <c r="AD21" s="570"/>
      <c r="AE21" s="570"/>
      <c r="AF21" s="571"/>
    </row>
    <row r="22" spans="1:32" ht="15.95" customHeight="1" thickBot="1">
      <c r="A22" s="407"/>
      <c r="B22" s="454"/>
      <c r="C22" s="365"/>
      <c r="D22" s="975" t="s">
        <v>158</v>
      </c>
      <c r="E22" s="975"/>
      <c r="F22" s="975"/>
      <c r="G22" s="975"/>
      <c r="H22" s="975"/>
      <c r="I22" s="975"/>
      <c r="J22" s="975"/>
      <c r="K22" s="975"/>
      <c r="L22" s="376"/>
      <c r="M22" s="979"/>
      <c r="N22" s="979"/>
      <c r="O22" s="979"/>
      <c r="P22" s="979"/>
      <c r="Q22" s="979"/>
      <c r="R22" s="979"/>
      <c r="S22" s="979"/>
      <c r="T22" s="979"/>
      <c r="U22" s="24"/>
      <c r="X22" s="572"/>
      <c r="Y22" s="573"/>
      <c r="Z22" s="573"/>
      <c r="AA22" s="573"/>
      <c r="AB22" s="573"/>
      <c r="AC22" s="573"/>
      <c r="AD22" s="573"/>
      <c r="AE22" s="573"/>
      <c r="AF22" s="574"/>
    </row>
    <row r="23" spans="1:32" ht="15.95" customHeight="1">
      <c r="A23" s="407"/>
      <c r="B23" s="355"/>
      <c r="C23" s="365"/>
      <c r="D23" s="975" t="s">
        <v>159</v>
      </c>
      <c r="E23" s="975"/>
      <c r="F23" s="975"/>
      <c r="G23" s="975"/>
      <c r="H23" s="975"/>
      <c r="I23" s="975"/>
      <c r="J23" s="975"/>
      <c r="K23" s="975"/>
      <c r="L23" s="376"/>
      <c r="M23" s="982"/>
      <c r="N23" s="982"/>
      <c r="O23" s="982"/>
      <c r="P23" s="982"/>
      <c r="Q23" s="982"/>
      <c r="R23" s="982"/>
      <c r="S23" s="982"/>
      <c r="T23" s="982"/>
      <c r="U23" s="24"/>
    </row>
    <row r="24" spans="1:32" ht="15.95" customHeight="1">
      <c r="A24" s="407"/>
      <c r="B24" s="355"/>
      <c r="C24" s="365"/>
      <c r="D24" s="975" t="s">
        <v>394</v>
      </c>
      <c r="E24" s="975"/>
      <c r="F24" s="975"/>
      <c r="G24" s="975"/>
      <c r="H24" s="975"/>
      <c r="I24" s="975"/>
      <c r="J24" s="975"/>
      <c r="K24" s="975"/>
      <c r="L24" s="376"/>
      <c r="M24" s="982"/>
      <c r="N24" s="982"/>
      <c r="O24" s="982"/>
      <c r="P24" s="982"/>
      <c r="Q24" s="982"/>
      <c r="R24" s="982"/>
      <c r="S24" s="982"/>
      <c r="T24" s="982"/>
      <c r="U24" s="24"/>
    </row>
    <row r="25" spans="1:32" ht="15.95" customHeight="1">
      <c r="A25" s="407"/>
      <c r="B25" s="355"/>
      <c r="C25" s="365"/>
      <c r="D25" s="399"/>
      <c r="E25" s="399"/>
      <c r="F25" s="399"/>
      <c r="G25" s="399"/>
      <c r="H25" s="399"/>
      <c r="I25" s="399"/>
      <c r="J25" s="399"/>
      <c r="K25" s="399"/>
      <c r="L25" s="376"/>
      <c r="M25" s="408"/>
      <c r="N25" s="396"/>
      <c r="O25" s="396"/>
      <c r="P25" s="396"/>
      <c r="Q25" s="396"/>
      <c r="R25" s="396"/>
      <c r="S25" s="408"/>
      <c r="T25" s="408"/>
      <c r="U25" s="24"/>
    </row>
    <row r="26" spans="1:32" ht="15.95" customHeight="1">
      <c r="A26" s="407"/>
      <c r="B26" s="454"/>
      <c r="C26" s="365"/>
      <c r="D26" s="975" t="s">
        <v>160</v>
      </c>
      <c r="E26" s="975"/>
      <c r="F26" s="975"/>
      <c r="G26" s="975"/>
      <c r="H26" s="975"/>
      <c r="I26" s="975"/>
      <c r="J26" s="975"/>
      <c r="K26" s="975"/>
      <c r="L26" s="376"/>
      <c r="M26" s="979"/>
      <c r="N26" s="979"/>
      <c r="O26" s="979"/>
      <c r="P26" s="979"/>
      <c r="Q26" s="979"/>
      <c r="R26" s="979"/>
      <c r="S26" s="979"/>
      <c r="T26" s="979"/>
      <c r="U26" s="270"/>
    </row>
    <row r="27" spans="1:32" ht="15.95" customHeight="1">
      <c r="A27" s="407"/>
      <c r="B27" s="408"/>
      <c r="C27" s="408"/>
      <c r="D27" s="408"/>
      <c r="E27" s="408"/>
      <c r="F27" s="408"/>
      <c r="G27" s="408"/>
      <c r="H27" s="408"/>
      <c r="I27" s="408"/>
      <c r="J27" s="408"/>
      <c r="K27" s="408"/>
      <c r="L27" s="408"/>
      <c r="M27" s="408"/>
      <c r="N27" s="408"/>
      <c r="O27" s="408"/>
      <c r="P27" s="408"/>
      <c r="Q27" s="408"/>
      <c r="R27" s="408"/>
      <c r="S27" s="408"/>
      <c r="T27" s="408"/>
      <c r="U27" s="270"/>
    </row>
    <row r="28" spans="1:32" ht="15.95" customHeight="1">
      <c r="A28" s="407"/>
      <c r="B28" s="454"/>
      <c r="C28" s="365"/>
      <c r="D28" s="975" t="s">
        <v>161</v>
      </c>
      <c r="E28" s="975"/>
      <c r="F28" s="975"/>
      <c r="G28" s="975"/>
      <c r="H28" s="975"/>
      <c r="I28" s="975"/>
      <c r="J28" s="975"/>
      <c r="K28" s="975"/>
      <c r="L28" s="376"/>
      <c r="M28" s="408"/>
      <c r="N28" s="396"/>
      <c r="O28" s="396"/>
      <c r="P28" s="396"/>
      <c r="Q28" s="396"/>
      <c r="R28" s="396"/>
      <c r="S28" s="408"/>
      <c r="T28" s="408"/>
      <c r="U28" s="24"/>
    </row>
    <row r="29" spans="1:32" ht="15.95" customHeight="1">
      <c r="A29" s="407"/>
      <c r="B29" s="985"/>
      <c r="C29" s="985"/>
      <c r="D29" s="985"/>
      <c r="E29" s="985"/>
      <c r="F29" s="985"/>
      <c r="G29" s="985"/>
      <c r="H29" s="985"/>
      <c r="I29" s="985"/>
      <c r="J29" s="985"/>
      <c r="K29" s="985"/>
      <c r="L29" s="985"/>
      <c r="M29" s="985"/>
      <c r="N29" s="985"/>
      <c r="O29" s="985"/>
      <c r="P29" s="985"/>
      <c r="Q29" s="985"/>
      <c r="R29" s="985"/>
      <c r="S29" s="985"/>
      <c r="T29" s="985"/>
      <c r="U29" s="24"/>
    </row>
    <row r="30" spans="1:32" ht="15.95" customHeight="1">
      <c r="A30" s="407"/>
      <c r="B30" s="981"/>
      <c r="C30" s="981"/>
      <c r="D30" s="981"/>
      <c r="E30" s="981"/>
      <c r="F30" s="981"/>
      <c r="G30" s="981"/>
      <c r="H30" s="981"/>
      <c r="I30" s="981"/>
      <c r="J30" s="981"/>
      <c r="K30" s="981"/>
      <c r="L30" s="981"/>
      <c r="M30" s="981"/>
      <c r="N30" s="981"/>
      <c r="O30" s="981"/>
      <c r="P30" s="981"/>
      <c r="Q30" s="981"/>
      <c r="R30" s="981"/>
      <c r="S30" s="981"/>
      <c r="T30" s="981"/>
      <c r="U30" s="24"/>
    </row>
    <row r="31" spans="1:32" ht="15.95" customHeight="1">
      <c r="A31" s="407"/>
      <c r="B31" s="981"/>
      <c r="C31" s="981"/>
      <c r="D31" s="981"/>
      <c r="E31" s="981"/>
      <c r="F31" s="981"/>
      <c r="G31" s="981"/>
      <c r="H31" s="981"/>
      <c r="I31" s="981"/>
      <c r="J31" s="981"/>
      <c r="K31" s="981"/>
      <c r="L31" s="981"/>
      <c r="M31" s="981"/>
      <c r="N31" s="981"/>
      <c r="O31" s="981"/>
      <c r="P31" s="981"/>
      <c r="Q31" s="981"/>
      <c r="R31" s="981"/>
      <c r="S31" s="981"/>
      <c r="T31" s="981"/>
      <c r="U31" s="24"/>
    </row>
    <row r="32" spans="1:32" ht="15.95" customHeight="1">
      <c r="A32" s="407"/>
      <c r="B32" s="981"/>
      <c r="C32" s="981"/>
      <c r="D32" s="981"/>
      <c r="E32" s="981"/>
      <c r="F32" s="981"/>
      <c r="G32" s="981"/>
      <c r="H32" s="981"/>
      <c r="I32" s="981"/>
      <c r="J32" s="981"/>
      <c r="K32" s="981"/>
      <c r="L32" s="981"/>
      <c r="M32" s="981"/>
      <c r="N32" s="981"/>
      <c r="O32" s="981"/>
      <c r="P32" s="981"/>
      <c r="Q32" s="981"/>
      <c r="R32" s="981"/>
      <c r="S32" s="981"/>
      <c r="T32" s="981"/>
      <c r="U32" s="24"/>
    </row>
    <row r="33" spans="1:21" ht="15.95" customHeight="1">
      <c r="A33" s="293"/>
      <c r="B33" s="984"/>
      <c r="C33" s="984"/>
      <c r="D33" s="984"/>
      <c r="E33" s="984"/>
      <c r="F33" s="984"/>
      <c r="G33" s="984"/>
      <c r="H33" s="984"/>
      <c r="I33" s="984"/>
      <c r="J33" s="984"/>
      <c r="K33" s="984"/>
      <c r="L33" s="984"/>
      <c r="M33" s="984"/>
      <c r="N33" s="984"/>
      <c r="O33" s="984"/>
      <c r="P33" s="984"/>
      <c r="Q33" s="984"/>
      <c r="R33" s="984"/>
      <c r="S33" s="984"/>
      <c r="T33" s="984"/>
      <c r="U33" s="24"/>
    </row>
    <row r="34" spans="1:21" ht="15.95" customHeight="1">
      <c r="A34" s="293"/>
      <c r="B34" s="983"/>
      <c r="C34" s="983"/>
      <c r="D34" s="983"/>
      <c r="E34" s="983"/>
      <c r="F34" s="983"/>
      <c r="G34" s="983"/>
      <c r="H34" s="983"/>
      <c r="I34" s="983"/>
      <c r="J34" s="983"/>
      <c r="K34" s="983"/>
      <c r="L34" s="983"/>
      <c r="M34" s="983"/>
      <c r="N34" s="983"/>
      <c r="O34" s="983"/>
      <c r="P34" s="983"/>
      <c r="Q34" s="983"/>
      <c r="R34" s="983"/>
      <c r="S34" s="983"/>
      <c r="T34" s="983"/>
      <c r="U34" s="24"/>
    </row>
    <row r="35" spans="1:21" ht="15.95" customHeight="1">
      <c r="A35" s="293"/>
      <c r="B35" s="983"/>
      <c r="C35" s="983"/>
      <c r="D35" s="983"/>
      <c r="E35" s="983"/>
      <c r="F35" s="983"/>
      <c r="G35" s="983"/>
      <c r="H35" s="983"/>
      <c r="I35" s="983"/>
      <c r="J35" s="983"/>
      <c r="K35" s="983"/>
      <c r="L35" s="983"/>
      <c r="M35" s="983"/>
      <c r="N35" s="983"/>
      <c r="O35" s="983"/>
      <c r="P35" s="983"/>
      <c r="Q35" s="983"/>
      <c r="R35" s="983"/>
      <c r="S35" s="983"/>
      <c r="T35" s="983"/>
      <c r="U35" s="24"/>
    </row>
    <row r="36" spans="1:21" ht="15.95" customHeight="1">
      <c r="A36" s="293"/>
      <c r="B36" s="983"/>
      <c r="C36" s="983"/>
      <c r="D36" s="983"/>
      <c r="E36" s="983"/>
      <c r="F36" s="983"/>
      <c r="G36" s="983"/>
      <c r="H36" s="983"/>
      <c r="I36" s="983"/>
      <c r="J36" s="983"/>
      <c r="K36" s="983"/>
      <c r="L36" s="983"/>
      <c r="M36" s="983"/>
      <c r="N36" s="983"/>
      <c r="O36" s="983"/>
      <c r="P36" s="983"/>
      <c r="Q36" s="983"/>
      <c r="R36" s="983"/>
      <c r="S36" s="983"/>
      <c r="T36" s="983"/>
      <c r="U36" s="24"/>
    </row>
    <row r="37" spans="1:21" ht="15.95" customHeight="1">
      <c r="A37" s="293"/>
      <c r="B37" s="983"/>
      <c r="C37" s="983"/>
      <c r="D37" s="983"/>
      <c r="E37" s="983"/>
      <c r="F37" s="983"/>
      <c r="G37" s="983"/>
      <c r="H37" s="983"/>
      <c r="I37" s="983"/>
      <c r="J37" s="983"/>
      <c r="K37" s="983"/>
      <c r="L37" s="983"/>
      <c r="M37" s="983"/>
      <c r="N37" s="983"/>
      <c r="O37" s="983"/>
      <c r="P37" s="983"/>
      <c r="Q37" s="983"/>
      <c r="R37" s="983"/>
      <c r="S37" s="983"/>
      <c r="T37" s="983"/>
      <c r="U37" s="24"/>
    </row>
    <row r="38" spans="1:21" ht="15.95" customHeight="1">
      <c r="A38" s="293"/>
      <c r="B38" s="983"/>
      <c r="C38" s="983"/>
      <c r="D38" s="983"/>
      <c r="E38" s="983"/>
      <c r="F38" s="983"/>
      <c r="G38" s="983"/>
      <c r="H38" s="983"/>
      <c r="I38" s="983"/>
      <c r="J38" s="983"/>
      <c r="K38" s="983"/>
      <c r="L38" s="983"/>
      <c r="M38" s="983"/>
      <c r="N38" s="983"/>
      <c r="O38" s="983"/>
      <c r="P38" s="983"/>
      <c r="Q38" s="983"/>
      <c r="R38" s="983"/>
      <c r="S38" s="983"/>
      <c r="T38" s="983"/>
      <c r="U38" s="24"/>
    </row>
    <row r="39" spans="1:21" ht="15.95" customHeight="1">
      <c r="A39" s="293"/>
      <c r="B39" s="369"/>
      <c r="C39" s="369"/>
      <c r="D39" s="369"/>
      <c r="E39" s="369"/>
      <c r="F39" s="369"/>
      <c r="G39" s="369"/>
      <c r="H39" s="400"/>
      <c r="I39" s="400"/>
      <c r="J39" s="400"/>
      <c r="K39" s="400"/>
      <c r="L39" s="400"/>
      <c r="M39" s="400"/>
      <c r="N39" s="400"/>
      <c r="O39" s="400"/>
      <c r="P39" s="400"/>
      <c r="Q39" s="400"/>
      <c r="R39" s="400"/>
      <c r="S39" s="400"/>
      <c r="T39" s="400"/>
      <c r="U39" s="24"/>
    </row>
    <row r="40" spans="1:21" ht="15.95" customHeight="1">
      <c r="A40" s="293"/>
      <c r="B40" s="369"/>
      <c r="C40" s="369"/>
      <c r="D40" s="369"/>
      <c r="E40" s="369"/>
      <c r="F40" s="369"/>
      <c r="G40" s="369"/>
      <c r="H40" s="400"/>
      <c r="I40" s="400"/>
      <c r="J40" s="400"/>
      <c r="K40" s="400"/>
      <c r="L40" s="400"/>
      <c r="M40" s="400"/>
      <c r="N40" s="400"/>
      <c r="O40" s="400"/>
      <c r="P40" s="400"/>
      <c r="Q40" s="400"/>
      <c r="R40" s="400"/>
      <c r="S40" s="400"/>
      <c r="T40" s="400"/>
      <c r="U40" s="24"/>
    </row>
    <row r="41" spans="1:21" ht="15.95" customHeight="1">
      <c r="A41" s="293"/>
      <c r="B41" s="989" t="s">
        <v>164</v>
      </c>
      <c r="C41" s="989"/>
      <c r="D41" s="989"/>
      <c r="E41" s="989"/>
      <c r="F41" s="989"/>
      <c r="G41" s="989"/>
      <c r="H41" s="989"/>
      <c r="I41" s="989"/>
      <c r="J41" s="989"/>
      <c r="K41" s="989"/>
      <c r="L41" s="989"/>
      <c r="M41" s="989"/>
      <c r="N41" s="989"/>
      <c r="O41" s="989"/>
      <c r="P41" s="989"/>
      <c r="Q41" s="989"/>
      <c r="R41" s="989"/>
      <c r="S41" s="989"/>
      <c r="T41" s="989"/>
      <c r="U41" s="24"/>
    </row>
    <row r="42" spans="1:21" ht="15.95" customHeight="1">
      <c r="A42" s="293"/>
      <c r="B42" s="989"/>
      <c r="C42" s="989"/>
      <c r="D42" s="989"/>
      <c r="E42" s="989"/>
      <c r="F42" s="989"/>
      <c r="G42" s="989"/>
      <c r="H42" s="989"/>
      <c r="I42" s="989"/>
      <c r="J42" s="989"/>
      <c r="K42" s="989"/>
      <c r="L42" s="989"/>
      <c r="M42" s="989"/>
      <c r="N42" s="989"/>
      <c r="O42" s="989"/>
      <c r="P42" s="989"/>
      <c r="Q42" s="989"/>
      <c r="R42" s="989"/>
      <c r="S42" s="989"/>
      <c r="T42" s="989"/>
      <c r="U42" s="24"/>
    </row>
    <row r="43" spans="1:21" ht="15.95" customHeight="1">
      <c r="A43" s="293"/>
      <c r="B43" s="989"/>
      <c r="C43" s="989"/>
      <c r="D43" s="989"/>
      <c r="E43" s="989"/>
      <c r="F43" s="989"/>
      <c r="G43" s="989"/>
      <c r="H43" s="989"/>
      <c r="I43" s="989"/>
      <c r="J43" s="989"/>
      <c r="K43" s="989"/>
      <c r="L43" s="989"/>
      <c r="M43" s="989"/>
      <c r="N43" s="989"/>
      <c r="O43" s="989"/>
      <c r="P43" s="989"/>
      <c r="Q43" s="989"/>
      <c r="R43" s="989"/>
      <c r="S43" s="989"/>
      <c r="T43" s="989"/>
      <c r="U43" s="24"/>
    </row>
    <row r="44" spans="1:21" ht="15.95" customHeight="1">
      <c r="A44" s="293"/>
      <c r="B44" s="989"/>
      <c r="C44" s="989"/>
      <c r="D44" s="989"/>
      <c r="E44" s="989"/>
      <c r="F44" s="989"/>
      <c r="G44" s="989"/>
      <c r="H44" s="989"/>
      <c r="I44" s="989"/>
      <c r="J44" s="989"/>
      <c r="K44" s="989"/>
      <c r="L44" s="989"/>
      <c r="M44" s="989"/>
      <c r="N44" s="989"/>
      <c r="O44" s="989"/>
      <c r="P44" s="989"/>
      <c r="Q44" s="989"/>
      <c r="R44" s="989"/>
      <c r="S44" s="989"/>
      <c r="T44" s="989"/>
      <c r="U44" s="24"/>
    </row>
    <row r="45" spans="1:21" ht="15.95" customHeight="1">
      <c r="A45" s="293"/>
      <c r="B45" s="409"/>
      <c r="C45" s="409"/>
      <c r="D45" s="409"/>
      <c r="E45" s="409"/>
      <c r="F45" s="409"/>
      <c r="G45" s="409"/>
      <c r="H45" s="409"/>
      <c r="I45" s="409"/>
      <c r="J45" s="409"/>
      <c r="K45" s="409"/>
      <c r="L45" s="409"/>
      <c r="M45" s="409"/>
      <c r="N45" s="409"/>
      <c r="O45" s="409"/>
      <c r="P45" s="409"/>
      <c r="Q45" s="409"/>
      <c r="R45" s="409"/>
      <c r="S45" s="409"/>
      <c r="T45" s="409"/>
      <c r="U45" s="24"/>
    </row>
    <row r="46" spans="1:21" ht="15.95" customHeight="1">
      <c r="A46" s="293"/>
      <c r="B46" s="409"/>
      <c r="C46" s="409"/>
      <c r="D46" s="409"/>
      <c r="E46" s="409"/>
      <c r="F46" s="409"/>
      <c r="G46" s="409"/>
      <c r="H46" s="409"/>
      <c r="I46" s="409"/>
      <c r="J46" s="409"/>
      <c r="K46" s="409"/>
      <c r="L46" s="409"/>
      <c r="M46" s="409"/>
      <c r="N46" s="409"/>
      <c r="O46" s="409"/>
      <c r="P46" s="409"/>
      <c r="Q46" s="409"/>
      <c r="R46" s="409"/>
      <c r="S46" s="409"/>
      <c r="T46" s="409"/>
      <c r="U46" s="24"/>
    </row>
    <row r="47" spans="1:21" ht="15.95" customHeight="1">
      <c r="A47" s="293"/>
      <c r="B47" s="409"/>
      <c r="C47" s="409"/>
      <c r="D47" s="409"/>
      <c r="E47" s="409"/>
      <c r="F47" s="409"/>
      <c r="G47" s="409"/>
      <c r="H47" s="409"/>
      <c r="I47" s="409"/>
      <c r="J47" s="409"/>
      <c r="K47" s="409"/>
      <c r="L47" s="409"/>
      <c r="M47" s="409"/>
      <c r="N47" s="409"/>
      <c r="O47" s="409"/>
      <c r="P47" s="409"/>
      <c r="Q47" s="409"/>
      <c r="R47" s="409"/>
      <c r="S47" s="409"/>
      <c r="T47" s="409"/>
      <c r="U47" s="24"/>
    </row>
    <row r="48" spans="1:21" ht="15.95" customHeight="1">
      <c r="A48" s="293"/>
      <c r="B48" s="409"/>
      <c r="C48" s="409"/>
      <c r="D48" s="409"/>
      <c r="E48" s="409"/>
      <c r="F48" s="409"/>
      <c r="G48" s="409"/>
      <c r="H48" s="409"/>
      <c r="I48" s="409"/>
      <c r="J48" s="409"/>
      <c r="K48" s="409"/>
      <c r="L48" s="409"/>
      <c r="M48" s="409"/>
      <c r="N48" s="409"/>
      <c r="O48" s="409"/>
      <c r="P48" s="409"/>
      <c r="Q48" s="409"/>
      <c r="R48" s="409"/>
      <c r="S48" s="409"/>
      <c r="T48" s="409"/>
      <c r="U48" s="24"/>
    </row>
    <row r="49" spans="1:21" ht="15.95" customHeight="1">
      <c r="A49" s="293"/>
      <c r="B49" s="369"/>
      <c r="C49" s="369"/>
      <c r="D49" s="369"/>
      <c r="E49" s="369"/>
      <c r="F49" s="369"/>
      <c r="G49" s="369"/>
      <c r="H49" s="400"/>
      <c r="I49" s="400"/>
      <c r="J49" s="400"/>
      <c r="K49" s="400"/>
      <c r="L49" s="400"/>
      <c r="M49" s="400"/>
      <c r="N49" s="400"/>
      <c r="O49" s="369"/>
      <c r="P49" s="369"/>
      <c r="Q49" s="369"/>
      <c r="R49" s="369"/>
      <c r="S49" s="369"/>
      <c r="T49" s="369"/>
      <c r="U49" s="24"/>
    </row>
    <row r="50" spans="1:21" ht="15.95" customHeight="1">
      <c r="A50" s="293"/>
      <c r="B50" s="369"/>
      <c r="C50" s="369"/>
      <c r="D50" s="369"/>
      <c r="E50" s="369"/>
      <c r="F50" s="369"/>
      <c r="G50" s="369"/>
      <c r="H50" s="400"/>
      <c r="I50" s="400"/>
      <c r="J50" s="400"/>
      <c r="K50" s="400"/>
      <c r="L50" s="400"/>
      <c r="M50" s="400"/>
      <c r="N50" s="400"/>
      <c r="O50" s="973">
        <f>'Data Entry'!B35</f>
        <v>0</v>
      </c>
      <c r="P50" s="973"/>
      <c r="Q50" s="973"/>
      <c r="R50" s="973"/>
      <c r="S50" s="973"/>
      <c r="T50" s="973"/>
      <c r="U50" s="24"/>
    </row>
    <row r="51" spans="1:21" ht="15.95" customHeight="1">
      <c r="A51" s="293"/>
      <c r="B51" s="369"/>
      <c r="C51" s="369"/>
      <c r="D51" s="369"/>
      <c r="E51" s="369"/>
      <c r="F51" s="369"/>
      <c r="G51" s="369"/>
      <c r="H51" s="400"/>
      <c r="I51" s="400"/>
      <c r="J51" s="400"/>
      <c r="K51" s="400"/>
      <c r="L51" s="400"/>
      <c r="M51" s="400"/>
      <c r="N51" s="400"/>
      <c r="O51" s="971" t="s">
        <v>23</v>
      </c>
      <c r="P51" s="974"/>
      <c r="Q51" s="974"/>
      <c r="R51" s="974"/>
      <c r="S51" s="974"/>
      <c r="T51" s="974"/>
      <c r="U51" s="24"/>
    </row>
    <row r="52" spans="1:21" ht="15.95" customHeight="1">
      <c r="A52" s="293"/>
      <c r="B52" s="400"/>
      <c r="C52" s="400"/>
      <c r="D52" s="400"/>
      <c r="E52" s="400"/>
      <c r="F52" s="400"/>
      <c r="G52" s="400"/>
      <c r="H52" s="400"/>
      <c r="I52" s="400"/>
      <c r="J52" s="400"/>
      <c r="K52" s="400"/>
      <c r="L52" s="400"/>
      <c r="M52" s="400"/>
      <c r="N52" s="400"/>
      <c r="O52" s="400"/>
      <c r="P52" s="400"/>
      <c r="Q52" s="400"/>
      <c r="R52" s="400"/>
      <c r="S52" s="400"/>
      <c r="T52" s="400"/>
      <c r="U52" s="24"/>
    </row>
    <row r="53" spans="1:21" ht="15.95" customHeight="1">
      <c r="A53" s="293"/>
      <c r="B53" s="400"/>
      <c r="C53" s="400"/>
      <c r="D53" s="400"/>
      <c r="E53" s="400"/>
      <c r="F53" s="400"/>
      <c r="G53" s="400"/>
      <c r="H53" s="400"/>
      <c r="I53" s="400"/>
      <c r="J53" s="400"/>
      <c r="K53" s="400"/>
      <c r="L53" s="400"/>
      <c r="M53" s="400"/>
      <c r="N53" s="400"/>
      <c r="O53" s="400"/>
      <c r="P53" s="400"/>
      <c r="Q53" s="400"/>
      <c r="R53" s="400"/>
      <c r="S53" s="400"/>
      <c r="T53" s="400"/>
      <c r="U53" s="24"/>
    </row>
    <row r="54" spans="1:21" ht="15.95" customHeight="1">
      <c r="A54" s="293"/>
      <c r="B54" s="400"/>
      <c r="C54" s="400"/>
      <c r="D54" s="400"/>
      <c r="E54" s="400"/>
      <c r="F54" s="400"/>
      <c r="G54" s="400"/>
      <c r="H54" s="400"/>
      <c r="I54" s="400"/>
      <c r="J54" s="400"/>
      <c r="K54" s="400"/>
      <c r="L54" s="400"/>
      <c r="M54" s="400"/>
      <c r="N54" s="400"/>
      <c r="O54" s="400"/>
      <c r="P54" s="400"/>
      <c r="Q54" s="400"/>
      <c r="R54" s="400"/>
      <c r="S54" s="400"/>
      <c r="T54" s="400"/>
      <c r="U54" s="24"/>
    </row>
    <row r="55" spans="1:21" ht="15.95" customHeight="1">
      <c r="A55" s="293"/>
      <c r="B55" s="400"/>
      <c r="C55" s="400"/>
      <c r="D55" s="400"/>
      <c r="E55" s="400"/>
      <c r="F55" s="400"/>
      <c r="G55" s="400"/>
      <c r="H55" s="400"/>
      <c r="I55" s="400"/>
      <c r="J55" s="400"/>
      <c r="K55" s="400"/>
      <c r="L55" s="400"/>
      <c r="M55" s="400"/>
      <c r="N55" s="400"/>
      <c r="O55" s="400"/>
      <c r="P55" s="400"/>
      <c r="Q55" s="400"/>
      <c r="R55" s="400"/>
      <c r="S55" s="400"/>
      <c r="T55" s="400"/>
      <c r="U55" s="24"/>
    </row>
    <row r="56" spans="1:21" ht="15.95" customHeight="1">
      <c r="A56" s="293"/>
      <c r="B56" s="369"/>
      <c r="C56" s="400"/>
      <c r="D56" s="400"/>
      <c r="E56" s="400"/>
      <c r="F56" s="400"/>
      <c r="G56" s="400"/>
      <c r="H56" s="400"/>
      <c r="I56" s="400"/>
      <c r="J56" s="400"/>
      <c r="K56" s="400"/>
      <c r="L56" s="400"/>
      <c r="M56" s="400"/>
      <c r="N56" s="400"/>
      <c r="O56" s="400"/>
      <c r="P56" s="400"/>
      <c r="Q56" s="400"/>
      <c r="R56" s="400"/>
      <c r="S56" s="400"/>
      <c r="T56" s="400"/>
      <c r="U56" s="24"/>
    </row>
    <row r="57" spans="1:21" ht="15.95" customHeight="1">
      <c r="A57" s="293"/>
      <c r="B57" s="970" t="s">
        <v>142</v>
      </c>
      <c r="C57" s="970"/>
      <c r="D57" s="970"/>
      <c r="E57" s="970"/>
      <c r="F57" s="970"/>
      <c r="G57" s="970"/>
      <c r="H57" s="970"/>
      <c r="I57" s="970"/>
      <c r="J57" s="970"/>
      <c r="K57" s="970"/>
      <c r="L57" s="970"/>
      <c r="M57" s="970"/>
      <c r="N57" s="970"/>
      <c r="O57" s="970"/>
      <c r="P57" s="970"/>
      <c r="Q57" s="970"/>
      <c r="R57" s="970"/>
      <c r="S57" s="970"/>
      <c r="T57" s="970"/>
      <c r="U57" s="24"/>
    </row>
    <row r="58" spans="1:21" ht="15.95" customHeight="1">
      <c r="A58" s="293"/>
      <c r="B58" s="971" t="s">
        <v>143</v>
      </c>
      <c r="C58" s="971"/>
      <c r="D58" s="971"/>
      <c r="E58" s="971"/>
      <c r="F58" s="971"/>
      <c r="G58" s="971"/>
      <c r="H58" s="971"/>
      <c r="I58" s="971"/>
      <c r="J58" s="971"/>
      <c r="K58" s="971"/>
      <c r="L58" s="971"/>
      <c r="M58" s="971"/>
      <c r="N58" s="971"/>
      <c r="O58" s="971"/>
      <c r="P58" s="971"/>
      <c r="Q58" s="971"/>
      <c r="R58" s="971"/>
      <c r="S58" s="971"/>
      <c r="T58" s="971"/>
      <c r="U58" s="24"/>
    </row>
    <row r="59" spans="1:21" ht="15.95" customHeight="1" thickBot="1">
      <c r="A59" s="36"/>
      <c r="B59" s="37"/>
      <c r="C59" s="406"/>
      <c r="D59" s="406"/>
      <c r="E59" s="406"/>
      <c r="F59" s="406"/>
      <c r="G59" s="406"/>
      <c r="H59" s="406"/>
      <c r="I59" s="406"/>
      <c r="J59" s="406"/>
      <c r="K59" s="406"/>
      <c r="L59" s="406"/>
      <c r="M59" s="406"/>
      <c r="N59" s="406"/>
      <c r="O59" s="406"/>
      <c r="P59" s="406"/>
      <c r="Q59" s="406"/>
      <c r="R59" s="406"/>
      <c r="S59" s="406"/>
      <c r="T59" s="37"/>
      <c r="U59" s="38"/>
    </row>
  </sheetData>
  <mergeCells count="57">
    <mergeCell ref="P7:T7"/>
    <mergeCell ref="M8:O8"/>
    <mergeCell ref="F1:O2"/>
    <mergeCell ref="P1:R1"/>
    <mergeCell ref="S1:U1"/>
    <mergeCell ref="P4:T4"/>
    <mergeCell ref="B5:J5"/>
    <mergeCell ref="M5:O5"/>
    <mergeCell ref="P5:T5"/>
    <mergeCell ref="B6:J6"/>
    <mergeCell ref="M6:O6"/>
    <mergeCell ref="P6:T6"/>
    <mergeCell ref="B7:J7"/>
    <mergeCell ref="B4:J4"/>
    <mergeCell ref="M4:O4"/>
    <mergeCell ref="X1:AF2"/>
    <mergeCell ref="P2:R2"/>
    <mergeCell ref="S2:U2"/>
    <mergeCell ref="B58:T58"/>
    <mergeCell ref="B12:T12"/>
    <mergeCell ref="M14:T14"/>
    <mergeCell ref="D15:K15"/>
    <mergeCell ref="D17:K17"/>
    <mergeCell ref="D19:K19"/>
    <mergeCell ref="D22:K22"/>
    <mergeCell ref="O50:T50"/>
    <mergeCell ref="O51:T51"/>
    <mergeCell ref="D26:K26"/>
    <mergeCell ref="D20:J20"/>
    <mergeCell ref="D23:K23"/>
    <mergeCell ref="D24:K24"/>
    <mergeCell ref="B32:T32"/>
    <mergeCell ref="B41:T44"/>
    <mergeCell ref="M22:T22"/>
    <mergeCell ref="B57:T57"/>
    <mergeCell ref="X3:AF22"/>
    <mergeCell ref="B31:T31"/>
    <mergeCell ref="B38:T38"/>
    <mergeCell ref="B37:T37"/>
    <mergeCell ref="B36:T36"/>
    <mergeCell ref="B35:T35"/>
    <mergeCell ref="B34:T34"/>
    <mergeCell ref="B33:T33"/>
    <mergeCell ref="P8:Q8"/>
    <mergeCell ref="R8:T8"/>
    <mergeCell ref="D28:K28"/>
    <mergeCell ref="B29:T29"/>
    <mergeCell ref="M7:O7"/>
    <mergeCell ref="B8:J8"/>
    <mergeCell ref="B9:J9"/>
    <mergeCell ref="B30:T30"/>
    <mergeCell ref="M15:T15"/>
    <mergeCell ref="M17:T17"/>
    <mergeCell ref="M19:T19"/>
    <mergeCell ref="M23:T23"/>
    <mergeCell ref="M24:T24"/>
    <mergeCell ref="M26:T26"/>
  </mergeCells>
  <conditionalFormatting sqref="B4:J4">
    <cfRule type="cellIs" dxfId="4" priority="1" operator="equal">
      <formula>0</formula>
    </cfRule>
  </conditionalFormatting>
  <pageMargins left="3.937007874015748E-2" right="3.937007874015748E-2" top="0.74803149606299213" bottom="0.74803149606299213" header="0.31496062992125984" footer="0.31496062992125984"/>
  <pageSetup paperSize="9"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F73D0353-A664-4837-9B37-4CC89BEE0DAD}">
          <x14:formula1>
            <xm:f>'Data Entry'!$B$11:$C$11</xm:f>
          </x14:formula1>
          <xm:sqref>P5:T5</xm:sqref>
        </x14:dataValidation>
        <x14:dataValidation type="list" allowBlank="1" showInputMessage="1" showErrorMessage="1" xr:uid="{0B8AA5A3-C0DA-49E1-BB8D-CD741AC519AD}">
          <x14:formula1>
            <xm:f>'Data Entry'!$B$13:$C$13</xm:f>
          </x14:formula1>
          <xm:sqref>B4:J4</xm:sqref>
        </x14:dataValidation>
        <x14:dataValidation type="list" allowBlank="1" showInputMessage="1" showErrorMessage="1" xr:uid="{DCFF1B43-B860-46D3-85D8-04E4D88BEDBF}">
          <x14:formula1>
            <xm:f>'Data Entry'!$B$15:$C$15</xm:f>
          </x14:formula1>
          <xm:sqref>R8:T8</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03722-E9D0-4A2D-B888-9E8ED99D9929}">
  <sheetPr>
    <tabColor rgb="FF92D050"/>
  </sheetPr>
  <dimension ref="A1:AF59"/>
  <sheetViews>
    <sheetView workbookViewId="0">
      <selection activeCell="Q31" sqref="Q31"/>
    </sheetView>
  </sheetViews>
  <sheetFormatPr baseColWidth="10" defaultColWidth="9" defaultRowHeight="12.75"/>
  <cols>
    <col min="1" max="20" width="4.85546875" style="1" customWidth="1"/>
    <col min="21" max="21" width="4.28515625" style="1" customWidth="1"/>
    <col min="22" max="22" width="9" style="339"/>
    <col min="23" max="23" width="4.85546875" style="339" customWidth="1"/>
    <col min="24" max="24" width="11.28515625" style="339" customWidth="1"/>
    <col min="25" max="25" width="12.42578125" style="339" customWidth="1"/>
    <col min="26" max="26" width="13.42578125" style="339" customWidth="1"/>
    <col min="27" max="27" width="14.7109375" style="339" customWidth="1"/>
    <col min="28" max="28" width="14" style="339" customWidth="1"/>
    <col min="29" max="29" width="11.42578125" style="339" customWidth="1"/>
    <col min="30" max="30" width="20.42578125" style="339" customWidth="1"/>
    <col min="31" max="34" width="4.85546875" style="339" customWidth="1"/>
    <col min="35" max="16384" width="9" style="339"/>
  </cols>
  <sheetData>
    <row r="1" spans="1:32" ht="21" customHeight="1">
      <c r="A1" s="358"/>
      <c r="B1" s="297"/>
      <c r="C1" s="297"/>
      <c r="D1" s="297"/>
      <c r="E1" s="297"/>
      <c r="F1" s="990" t="s">
        <v>508</v>
      </c>
      <c r="G1" s="990"/>
      <c r="H1" s="990"/>
      <c r="I1" s="990"/>
      <c r="J1" s="990"/>
      <c r="K1" s="990"/>
      <c r="L1" s="990"/>
      <c r="M1" s="990"/>
      <c r="N1" s="990"/>
      <c r="O1" s="991"/>
      <c r="P1" s="593"/>
      <c r="Q1" s="594"/>
      <c r="R1" s="596"/>
      <c r="S1" s="593" t="s">
        <v>2</v>
      </c>
      <c r="T1" s="594"/>
      <c r="U1" s="595"/>
      <c r="X1" s="530" t="s">
        <v>450</v>
      </c>
      <c r="Y1" s="531"/>
      <c r="Z1" s="531"/>
      <c r="AA1" s="531"/>
      <c r="AB1" s="531"/>
      <c r="AC1" s="531"/>
      <c r="AD1" s="531"/>
      <c r="AE1" s="531"/>
      <c r="AF1" s="532"/>
    </row>
    <row r="2" spans="1:32" ht="21" customHeight="1" thickBot="1">
      <c r="A2" s="10"/>
      <c r="B2" s="11"/>
      <c r="C2" s="11"/>
      <c r="D2" s="11"/>
      <c r="E2" s="11"/>
      <c r="F2" s="992"/>
      <c r="G2" s="992"/>
      <c r="H2" s="992"/>
      <c r="I2" s="992"/>
      <c r="J2" s="992"/>
      <c r="K2" s="992"/>
      <c r="L2" s="992"/>
      <c r="M2" s="992"/>
      <c r="N2" s="992"/>
      <c r="O2" s="993"/>
      <c r="P2" s="585" t="s">
        <v>514</v>
      </c>
      <c r="Q2" s="586"/>
      <c r="R2" s="587"/>
      <c r="S2" s="486" t="s">
        <v>572</v>
      </c>
      <c r="T2" s="996"/>
      <c r="U2" s="997"/>
      <c r="X2" s="533"/>
      <c r="Y2" s="534"/>
      <c r="Z2" s="534"/>
      <c r="AA2" s="534"/>
      <c r="AB2" s="534"/>
      <c r="AC2" s="534"/>
      <c r="AD2" s="534"/>
      <c r="AE2" s="534"/>
      <c r="AF2" s="535"/>
    </row>
    <row r="3" spans="1:32" ht="15.95" customHeight="1">
      <c r="A3" s="293"/>
      <c r="B3" s="359"/>
      <c r="C3" s="359"/>
      <c r="D3" s="359"/>
      <c r="E3" s="359"/>
      <c r="F3" s="359"/>
      <c r="G3" s="359"/>
      <c r="H3" s="359"/>
      <c r="I3" s="359"/>
      <c r="J3" s="360"/>
      <c r="K3" s="360"/>
      <c r="L3" s="360"/>
      <c r="M3" s="360"/>
      <c r="N3" s="360"/>
      <c r="O3" s="361"/>
      <c r="P3" s="362"/>
      <c r="Q3" s="363"/>
      <c r="R3" s="363"/>
      <c r="S3" s="363"/>
      <c r="T3" s="363"/>
      <c r="U3" s="21"/>
      <c r="X3" s="566" t="s">
        <v>558</v>
      </c>
      <c r="Y3" s="567"/>
      <c r="Z3" s="567"/>
      <c r="AA3" s="567"/>
      <c r="AB3" s="567"/>
      <c r="AC3" s="567"/>
      <c r="AD3" s="567"/>
      <c r="AE3" s="567"/>
      <c r="AF3" s="568"/>
    </row>
    <row r="4" spans="1:32" ht="15.95" customHeight="1">
      <c r="A4" s="315" t="s">
        <v>4</v>
      </c>
      <c r="B4" s="606"/>
      <c r="C4" s="588"/>
      <c r="D4" s="588"/>
      <c r="E4" s="588"/>
      <c r="F4" s="588"/>
      <c r="G4" s="588"/>
      <c r="H4" s="588"/>
      <c r="I4" s="588"/>
      <c r="J4" s="588"/>
      <c r="K4" s="364"/>
      <c r="L4" s="364"/>
      <c r="M4" s="581" t="s">
        <v>5</v>
      </c>
      <c r="N4" s="581"/>
      <c r="O4" s="581"/>
      <c r="P4" s="605" t="str">
        <f>IF('Data Entry'!B8="","",'Data Entry'!B8)</f>
        <v/>
      </c>
      <c r="Q4" s="605"/>
      <c r="R4" s="605"/>
      <c r="S4" s="605"/>
      <c r="T4" s="605"/>
      <c r="U4" s="24"/>
      <c r="X4" s="569"/>
      <c r="Y4" s="570"/>
      <c r="Z4" s="570"/>
      <c r="AA4" s="570"/>
      <c r="AB4" s="570"/>
      <c r="AC4" s="570"/>
      <c r="AD4" s="570"/>
      <c r="AE4" s="570"/>
      <c r="AF4" s="571"/>
    </row>
    <row r="5" spans="1:32" ht="15.95" customHeight="1">
      <c r="A5" s="294"/>
      <c r="B5" s="588" t="str">
        <f>IF('Data Entry'!B19="","",'Data Entry'!B19)</f>
        <v/>
      </c>
      <c r="C5" s="588"/>
      <c r="D5" s="588"/>
      <c r="E5" s="588"/>
      <c r="F5" s="588"/>
      <c r="G5" s="588"/>
      <c r="H5" s="588"/>
      <c r="I5" s="588"/>
      <c r="J5" s="588"/>
      <c r="K5" s="364"/>
      <c r="L5" s="364"/>
      <c r="M5" s="581" t="s">
        <v>7</v>
      </c>
      <c r="N5" s="581"/>
      <c r="O5" s="581"/>
      <c r="P5" s="597"/>
      <c r="Q5" s="597"/>
      <c r="R5" s="597"/>
      <c r="S5" s="597"/>
      <c r="T5" s="597"/>
      <c r="U5" s="24"/>
      <c r="X5" s="569"/>
      <c r="Y5" s="570"/>
      <c r="Z5" s="570"/>
      <c r="AA5" s="570"/>
      <c r="AB5" s="570"/>
      <c r="AC5" s="570"/>
      <c r="AD5" s="570"/>
      <c r="AE5" s="570"/>
      <c r="AF5" s="571"/>
    </row>
    <row r="6" spans="1:32" ht="15.95" customHeight="1">
      <c r="A6" s="294"/>
      <c r="B6" s="588" t="str">
        <f>IF('Data Entry'!B29="","",'Data Entry'!B29)</f>
        <v/>
      </c>
      <c r="C6" s="588"/>
      <c r="D6" s="588"/>
      <c r="E6" s="588"/>
      <c r="F6" s="588"/>
      <c r="G6" s="588"/>
      <c r="H6" s="588"/>
      <c r="I6" s="588"/>
      <c r="J6" s="588"/>
      <c r="K6" s="364"/>
      <c r="L6" s="364"/>
      <c r="M6" s="581" t="s">
        <v>8</v>
      </c>
      <c r="N6" s="581"/>
      <c r="O6" s="581"/>
      <c r="P6" s="597" t="str">
        <f>IF('Data Entry'!B17="","",'Data Entry'!B17)</f>
        <v/>
      </c>
      <c r="Q6" s="597"/>
      <c r="R6" s="597"/>
      <c r="S6" s="597"/>
      <c r="T6" s="597"/>
      <c r="U6" s="24"/>
      <c r="W6" s="26"/>
      <c r="X6" s="569"/>
      <c r="Y6" s="570"/>
      <c r="Z6" s="570"/>
      <c r="AA6" s="570"/>
      <c r="AB6" s="570"/>
      <c r="AC6" s="570"/>
      <c r="AD6" s="570"/>
      <c r="AE6" s="570"/>
      <c r="AF6" s="571"/>
    </row>
    <row r="7" spans="1:32" ht="15.95" customHeight="1">
      <c r="A7" s="294"/>
      <c r="B7" s="588" t="str">
        <f>IF('Data Entry'!B33="","",'Data Entry'!B33)</f>
        <v/>
      </c>
      <c r="C7" s="588"/>
      <c r="D7" s="588"/>
      <c r="E7" s="588"/>
      <c r="F7" s="588"/>
      <c r="G7" s="588"/>
      <c r="H7" s="588"/>
      <c r="I7" s="588"/>
      <c r="J7" s="588"/>
      <c r="K7" s="364"/>
      <c r="L7" s="364"/>
      <c r="M7" s="581" t="s">
        <v>515</v>
      </c>
      <c r="N7" s="581"/>
      <c r="O7" s="581"/>
      <c r="P7" s="582" t="str">
        <f>IF('Data Entry'!B23="","",'Data Entry'!B23)</f>
        <v/>
      </c>
      <c r="Q7" s="582"/>
      <c r="R7" s="582"/>
      <c r="S7" s="582"/>
      <c r="T7" s="582"/>
      <c r="U7" s="24"/>
      <c r="X7" s="569"/>
      <c r="Y7" s="570"/>
      <c r="Z7" s="570"/>
      <c r="AA7" s="570"/>
      <c r="AB7" s="570"/>
      <c r="AC7" s="570"/>
      <c r="AD7" s="570"/>
      <c r="AE7" s="570"/>
      <c r="AF7" s="571"/>
    </row>
    <row r="8" spans="1:32" ht="15.95" customHeight="1">
      <c r="A8" s="293"/>
      <c r="B8" s="588" t="str">
        <f>IF('Data Entry'!B31="","",'Data Entry'!B31)</f>
        <v/>
      </c>
      <c r="C8" s="588"/>
      <c r="D8" s="588"/>
      <c r="E8" s="588"/>
      <c r="F8" s="588"/>
      <c r="G8" s="588"/>
      <c r="H8" s="588"/>
      <c r="I8" s="588"/>
      <c r="J8" s="588"/>
      <c r="K8" s="364"/>
      <c r="L8" s="364"/>
      <c r="M8" s="581" t="s">
        <v>9</v>
      </c>
      <c r="N8" s="581"/>
      <c r="O8" s="581"/>
      <c r="P8" s="582" t="s">
        <v>391</v>
      </c>
      <c r="Q8" s="582"/>
      <c r="R8" s="583"/>
      <c r="S8" s="583"/>
      <c r="T8" s="583"/>
      <c r="U8" s="24"/>
      <c r="X8" s="569"/>
      <c r="Y8" s="570"/>
      <c r="Z8" s="570"/>
      <c r="AA8" s="570"/>
      <c r="AB8" s="570"/>
      <c r="AC8" s="570"/>
      <c r="AD8" s="570"/>
      <c r="AE8" s="570"/>
      <c r="AF8" s="571"/>
    </row>
    <row r="9" spans="1:32" ht="15.95" customHeight="1">
      <c r="A9" s="293"/>
      <c r="B9" s="588" t="s">
        <v>566</v>
      </c>
      <c r="C9" s="588"/>
      <c r="D9" s="588"/>
      <c r="E9" s="588"/>
      <c r="F9" s="588"/>
      <c r="G9" s="588"/>
      <c r="H9" s="588"/>
      <c r="I9" s="588"/>
      <c r="J9" s="588"/>
      <c r="K9" s="364"/>
      <c r="L9" s="364"/>
      <c r="M9" s="364"/>
      <c r="N9" s="364"/>
      <c r="O9" s="364"/>
      <c r="P9" s="364"/>
      <c r="Q9" s="365"/>
      <c r="R9" s="365"/>
      <c r="S9" s="365"/>
      <c r="T9" s="365"/>
      <c r="U9" s="24"/>
      <c r="X9" s="569"/>
      <c r="Y9" s="570"/>
      <c r="Z9" s="570"/>
      <c r="AA9" s="570"/>
      <c r="AB9" s="570"/>
      <c r="AC9" s="570"/>
      <c r="AD9" s="570"/>
      <c r="AE9" s="570"/>
      <c r="AF9" s="571"/>
    </row>
    <row r="10" spans="1:32" ht="15.95" customHeight="1">
      <c r="A10" s="293"/>
      <c r="B10" s="380"/>
      <c r="C10" s="380"/>
      <c r="D10" s="380"/>
      <c r="E10" s="380"/>
      <c r="F10" s="380"/>
      <c r="G10" s="380"/>
      <c r="H10" s="380"/>
      <c r="I10" s="380"/>
      <c r="J10" s="380"/>
      <c r="K10" s="364"/>
      <c r="L10" s="364"/>
      <c r="M10" s="364"/>
      <c r="N10" s="364"/>
      <c r="O10" s="364"/>
      <c r="P10" s="364"/>
      <c r="Q10" s="365"/>
      <c r="R10" s="365"/>
      <c r="S10" s="365"/>
      <c r="T10" s="365"/>
      <c r="U10" s="24"/>
      <c r="X10" s="569"/>
      <c r="Y10" s="570"/>
      <c r="Z10" s="570"/>
      <c r="AA10" s="570"/>
      <c r="AB10" s="570"/>
      <c r="AC10" s="570"/>
      <c r="AD10" s="570"/>
      <c r="AE10" s="570"/>
      <c r="AF10" s="571"/>
    </row>
    <row r="11" spans="1:32" ht="15.95" customHeight="1" thickBot="1">
      <c r="A11" s="293"/>
      <c r="B11" s="366"/>
      <c r="C11" s="366"/>
      <c r="D11" s="364"/>
      <c r="E11" s="364"/>
      <c r="F11" s="364"/>
      <c r="G11" s="364"/>
      <c r="H11" s="369"/>
      <c r="I11" s="369"/>
      <c r="J11" s="369"/>
      <c r="K11" s="364"/>
      <c r="L11" s="364"/>
      <c r="M11" s="364"/>
      <c r="N11" s="364"/>
      <c r="O11" s="364"/>
      <c r="P11" s="364"/>
      <c r="Q11" s="365"/>
      <c r="R11" s="365"/>
      <c r="S11" s="365"/>
      <c r="T11" s="365"/>
      <c r="U11" s="24"/>
      <c r="X11" s="572"/>
      <c r="Y11" s="573"/>
      <c r="Z11" s="573"/>
      <c r="AA11" s="573"/>
      <c r="AB11" s="573"/>
      <c r="AC11" s="573"/>
      <c r="AD11" s="573"/>
      <c r="AE11" s="573"/>
      <c r="AF11" s="574"/>
    </row>
    <row r="12" spans="1:32" ht="15.95" customHeight="1">
      <c r="A12" s="407"/>
      <c r="B12" s="986" t="s">
        <v>149</v>
      </c>
      <c r="C12" s="986"/>
      <c r="D12" s="986"/>
      <c r="E12" s="986"/>
      <c r="F12" s="986"/>
      <c r="G12" s="986"/>
      <c r="H12" s="986"/>
      <c r="I12" s="986"/>
      <c r="J12" s="986"/>
      <c r="K12" s="986"/>
      <c r="L12" s="986"/>
      <c r="M12" s="986"/>
      <c r="N12" s="986"/>
      <c r="O12" s="986"/>
      <c r="P12" s="986"/>
      <c r="Q12" s="986"/>
      <c r="R12" s="986"/>
      <c r="S12" s="986"/>
      <c r="T12" s="986"/>
      <c r="U12" s="24"/>
    </row>
    <row r="13" spans="1:32" ht="15.95" customHeight="1">
      <c r="A13" s="407"/>
      <c r="B13" s="408"/>
      <c r="C13" s="408"/>
      <c r="D13" s="408"/>
      <c r="E13" s="408"/>
      <c r="F13" s="408"/>
      <c r="G13" s="408"/>
      <c r="H13" s="408"/>
      <c r="I13" s="408"/>
      <c r="J13" s="408"/>
      <c r="K13" s="408"/>
      <c r="L13" s="408"/>
      <c r="M13" s="408"/>
      <c r="N13" s="408"/>
      <c r="O13" s="408"/>
      <c r="P13" s="408"/>
      <c r="Q13" s="408"/>
      <c r="R13" s="408"/>
      <c r="S13" s="408"/>
      <c r="T13" s="408"/>
      <c r="U13" s="24"/>
    </row>
    <row r="14" spans="1:32" ht="15.95" customHeight="1">
      <c r="A14" s="407"/>
      <c r="B14" s="408"/>
      <c r="C14" s="408"/>
      <c r="D14" s="408"/>
      <c r="E14" s="408"/>
      <c r="F14" s="408"/>
      <c r="G14" s="408"/>
      <c r="H14" s="408"/>
      <c r="I14" s="408"/>
      <c r="J14" s="408"/>
      <c r="K14" s="408"/>
      <c r="L14" s="408"/>
      <c r="M14" s="987" t="s">
        <v>504</v>
      </c>
      <c r="N14" s="988"/>
      <c r="O14" s="988"/>
      <c r="P14" s="988"/>
      <c r="Q14" s="988"/>
      <c r="R14" s="988"/>
      <c r="S14" s="988"/>
      <c r="T14" s="988"/>
      <c r="U14" s="24"/>
    </row>
    <row r="15" spans="1:32" ht="15.95" customHeight="1">
      <c r="A15" s="407"/>
      <c r="B15" s="454"/>
      <c r="C15" s="365"/>
      <c r="D15" s="975" t="s">
        <v>239</v>
      </c>
      <c r="E15" s="975"/>
      <c r="F15" s="975"/>
      <c r="G15" s="975"/>
      <c r="H15" s="975"/>
      <c r="I15" s="975"/>
      <c r="J15" s="975"/>
      <c r="K15" s="975"/>
      <c r="L15" s="376"/>
      <c r="M15" s="403"/>
      <c r="N15" s="401"/>
      <c r="O15" s="401"/>
      <c r="P15" s="401"/>
      <c r="Q15" s="401"/>
      <c r="R15" s="401"/>
      <c r="S15" s="403"/>
      <c r="T15" s="403"/>
      <c r="U15" s="24"/>
    </row>
    <row r="16" spans="1:32" ht="15.95" customHeight="1">
      <c r="A16" s="407"/>
      <c r="B16" s="408"/>
      <c r="C16" s="408"/>
      <c r="D16" s="408"/>
      <c r="E16" s="408"/>
      <c r="F16" s="408"/>
      <c r="G16" s="408"/>
      <c r="H16" s="408"/>
      <c r="I16" s="408"/>
      <c r="J16" s="408"/>
      <c r="K16" s="408"/>
      <c r="L16" s="408"/>
      <c r="M16" s="408"/>
      <c r="N16" s="408"/>
      <c r="O16" s="408"/>
      <c r="P16" s="408"/>
      <c r="Q16" s="408"/>
      <c r="R16" s="408"/>
      <c r="S16" s="408"/>
      <c r="T16" s="408"/>
      <c r="U16" s="402"/>
    </row>
    <row r="17" spans="1:21" ht="15.95" customHeight="1">
      <c r="A17" s="407"/>
      <c r="B17" s="454"/>
      <c r="C17" s="365"/>
      <c r="D17" s="975" t="s">
        <v>505</v>
      </c>
      <c r="E17" s="975"/>
      <c r="F17" s="975"/>
      <c r="G17" s="975"/>
      <c r="H17" s="975"/>
      <c r="I17" s="975"/>
      <c r="J17" s="975"/>
      <c r="K17" s="975"/>
      <c r="L17" s="376"/>
      <c r="M17" s="403"/>
      <c r="N17" s="401"/>
      <c r="O17" s="401"/>
      <c r="P17" s="401"/>
      <c r="Q17" s="401"/>
      <c r="R17" s="401"/>
      <c r="S17" s="403"/>
      <c r="T17" s="403"/>
      <c r="U17" s="24"/>
    </row>
    <row r="18" spans="1:21" ht="15.95" customHeight="1">
      <c r="A18" s="407"/>
      <c r="B18" s="408"/>
      <c r="C18" s="408"/>
      <c r="D18" s="408"/>
      <c r="E18" s="408"/>
      <c r="F18" s="408"/>
      <c r="G18" s="408"/>
      <c r="H18" s="408"/>
      <c r="I18" s="408"/>
      <c r="J18" s="408"/>
      <c r="K18" s="408"/>
      <c r="L18" s="408"/>
      <c r="M18" s="408"/>
      <c r="N18" s="408"/>
      <c r="O18" s="408"/>
      <c r="P18" s="408"/>
      <c r="Q18" s="408"/>
      <c r="R18" s="408"/>
      <c r="S18" s="408"/>
      <c r="T18" s="408"/>
      <c r="U18" s="402"/>
    </row>
    <row r="19" spans="1:21" ht="15.95" customHeight="1">
      <c r="A19" s="407"/>
      <c r="B19" s="454"/>
      <c r="C19" s="365"/>
      <c r="D19" s="975" t="s">
        <v>368</v>
      </c>
      <c r="E19" s="975"/>
      <c r="F19" s="975"/>
      <c r="G19" s="975"/>
      <c r="H19" s="975"/>
      <c r="I19" s="975"/>
      <c r="J19" s="975"/>
      <c r="K19" s="975"/>
      <c r="L19" s="376"/>
      <c r="M19" s="403"/>
      <c r="N19" s="401"/>
      <c r="O19" s="401"/>
      <c r="P19" s="401"/>
      <c r="Q19" s="401"/>
      <c r="R19" s="401"/>
      <c r="S19" s="403"/>
      <c r="T19" s="403"/>
      <c r="U19" s="24"/>
    </row>
    <row r="20" spans="1:21" ht="15.95" customHeight="1">
      <c r="A20" s="407"/>
      <c r="B20" s="408"/>
      <c r="C20" s="408"/>
      <c r="D20" s="986"/>
      <c r="E20" s="986"/>
      <c r="F20" s="986"/>
      <c r="G20" s="986"/>
      <c r="H20" s="986"/>
      <c r="I20" s="986"/>
      <c r="J20" s="986"/>
      <c r="K20" s="408"/>
      <c r="L20" s="408"/>
      <c r="M20" s="408"/>
      <c r="N20" s="408"/>
      <c r="O20" s="408"/>
      <c r="P20" s="408"/>
      <c r="Q20" s="408"/>
      <c r="R20" s="408"/>
      <c r="S20" s="408"/>
      <c r="T20" s="408"/>
      <c r="U20" s="24"/>
    </row>
    <row r="21" spans="1:21" ht="15.95" customHeight="1">
      <c r="A21" s="407"/>
      <c r="B21" s="454"/>
      <c r="C21" s="365"/>
      <c r="D21" s="975" t="s">
        <v>512</v>
      </c>
      <c r="E21" s="975"/>
      <c r="F21" s="975"/>
      <c r="G21" s="975"/>
      <c r="H21" s="975"/>
      <c r="I21" s="975"/>
      <c r="J21" s="975"/>
      <c r="K21" s="975"/>
      <c r="L21" s="376"/>
      <c r="M21" s="403"/>
      <c r="N21" s="401"/>
      <c r="O21" s="401"/>
      <c r="P21" s="401"/>
      <c r="Q21" s="401"/>
      <c r="R21" s="401"/>
      <c r="S21" s="403"/>
      <c r="T21" s="403"/>
      <c r="U21" s="24"/>
    </row>
    <row r="22" spans="1:21" ht="15.95" customHeight="1">
      <c r="A22" s="407"/>
      <c r="B22" s="355"/>
      <c r="C22" s="365"/>
      <c r="D22" s="975"/>
      <c r="E22" s="975"/>
      <c r="F22" s="975"/>
      <c r="G22" s="975"/>
      <c r="H22" s="975"/>
      <c r="I22" s="975"/>
      <c r="J22" s="975"/>
      <c r="K22" s="975"/>
      <c r="L22" s="376"/>
      <c r="M22" s="408"/>
      <c r="N22" s="396"/>
      <c r="O22" s="396"/>
      <c r="P22" s="396"/>
      <c r="Q22" s="396"/>
      <c r="R22" s="396"/>
      <c r="S22" s="408"/>
      <c r="T22" s="408"/>
      <c r="U22" s="24"/>
    </row>
    <row r="23" spans="1:21" ht="15.95" customHeight="1">
      <c r="A23" s="407"/>
      <c r="B23" s="454"/>
      <c r="C23" s="365"/>
      <c r="D23" s="975" t="s">
        <v>507</v>
      </c>
      <c r="E23" s="975"/>
      <c r="F23" s="975"/>
      <c r="G23" s="975"/>
      <c r="H23" s="975"/>
      <c r="I23" s="975"/>
      <c r="J23" s="975"/>
      <c r="K23" s="975"/>
      <c r="L23" s="376"/>
      <c r="M23" s="403"/>
      <c r="N23" s="401"/>
      <c r="O23" s="401"/>
      <c r="P23" s="401"/>
      <c r="Q23" s="401"/>
      <c r="R23" s="401"/>
      <c r="S23" s="403"/>
      <c r="T23" s="403"/>
      <c r="U23" s="24"/>
    </row>
    <row r="24" spans="1:21" ht="15.95" customHeight="1">
      <c r="A24" s="407"/>
      <c r="B24" s="355"/>
      <c r="C24" s="365"/>
      <c r="D24" s="399" t="s">
        <v>506</v>
      </c>
      <c r="E24" s="399"/>
      <c r="F24" s="399"/>
      <c r="G24" s="399"/>
      <c r="H24" s="399"/>
      <c r="I24" s="399"/>
      <c r="J24" s="399"/>
      <c r="K24" s="399"/>
      <c r="L24" s="376"/>
      <c r="M24" s="408"/>
      <c r="N24" s="396"/>
      <c r="O24" s="396"/>
      <c r="P24" s="396"/>
      <c r="Q24" s="396"/>
      <c r="R24" s="396"/>
      <c r="S24" s="408"/>
      <c r="T24" s="408"/>
      <c r="U24" s="24"/>
    </row>
    <row r="25" spans="1:21" ht="15.95" customHeight="1">
      <c r="A25" s="407"/>
      <c r="B25" s="355"/>
      <c r="C25" s="365"/>
      <c r="D25" s="399"/>
      <c r="E25" s="399"/>
      <c r="F25" s="399"/>
      <c r="G25" s="399"/>
      <c r="H25" s="399"/>
      <c r="I25" s="399"/>
      <c r="J25" s="399"/>
      <c r="K25" s="399"/>
      <c r="L25" s="376"/>
      <c r="M25" s="408"/>
      <c r="N25" s="396"/>
      <c r="O25" s="396"/>
      <c r="P25" s="396"/>
      <c r="Q25" s="396"/>
      <c r="R25" s="396"/>
      <c r="S25" s="408"/>
      <c r="T25" s="408"/>
      <c r="U25" s="24"/>
    </row>
    <row r="26" spans="1:21" ht="15.95" customHeight="1">
      <c r="A26" s="407"/>
      <c r="B26" s="454"/>
      <c r="C26" s="365"/>
      <c r="D26" s="975" t="s">
        <v>178</v>
      </c>
      <c r="E26" s="975"/>
      <c r="F26" s="975"/>
      <c r="G26" s="975"/>
      <c r="H26" s="975"/>
      <c r="I26" s="975"/>
      <c r="J26" s="975"/>
      <c r="K26" s="975"/>
      <c r="L26" s="376"/>
      <c r="M26" s="403"/>
      <c r="N26" s="401"/>
      <c r="O26" s="401"/>
      <c r="P26" s="401"/>
      <c r="Q26" s="401"/>
      <c r="R26" s="401"/>
      <c r="S26" s="403"/>
      <c r="T26" s="403"/>
      <c r="U26" s="270"/>
    </row>
    <row r="27" spans="1:21" ht="15.95" customHeight="1">
      <c r="A27" s="407"/>
      <c r="B27" s="355"/>
      <c r="C27" s="365"/>
      <c r="D27" s="975" t="s">
        <v>179</v>
      </c>
      <c r="E27" s="975"/>
      <c r="F27" s="975"/>
      <c r="G27" s="975"/>
      <c r="H27" s="975"/>
      <c r="I27" s="975"/>
      <c r="J27" s="975"/>
      <c r="K27" s="975"/>
      <c r="L27" s="376"/>
      <c r="M27" s="408"/>
      <c r="N27" s="396"/>
      <c r="O27" s="396"/>
      <c r="P27" s="396"/>
      <c r="Q27" s="396"/>
      <c r="R27" s="396"/>
      <c r="S27" s="408"/>
      <c r="T27" s="408"/>
      <c r="U27" s="270"/>
    </row>
    <row r="28" spans="1:21" ht="15.95" customHeight="1">
      <c r="A28" s="407"/>
      <c r="B28" s="408"/>
      <c r="C28" s="408"/>
      <c r="D28" s="408"/>
      <c r="E28" s="408"/>
      <c r="F28" s="408"/>
      <c r="G28" s="408"/>
      <c r="H28" s="408"/>
      <c r="I28" s="408"/>
      <c r="J28" s="408"/>
      <c r="K28" s="408"/>
      <c r="L28" s="408"/>
      <c r="M28" s="408"/>
      <c r="N28" s="408"/>
      <c r="O28" s="408"/>
      <c r="P28" s="408"/>
      <c r="Q28" s="408"/>
      <c r="R28" s="408"/>
      <c r="S28" s="408"/>
      <c r="T28" s="408"/>
      <c r="U28" s="270"/>
    </row>
    <row r="29" spans="1:21" ht="15.95" customHeight="1">
      <c r="A29" s="407"/>
      <c r="B29" s="454"/>
      <c r="C29" s="365"/>
      <c r="D29" s="975" t="s">
        <v>509</v>
      </c>
      <c r="E29" s="975"/>
      <c r="F29" s="975"/>
      <c r="G29" s="975"/>
      <c r="H29" s="975"/>
      <c r="I29" s="975"/>
      <c r="J29" s="975"/>
      <c r="K29" s="975"/>
      <c r="L29" s="376"/>
      <c r="M29" s="403"/>
      <c r="N29" s="401"/>
      <c r="O29" s="401"/>
      <c r="P29" s="401"/>
      <c r="Q29" s="401"/>
      <c r="R29" s="401"/>
      <c r="S29" s="403"/>
      <c r="T29" s="403"/>
      <c r="U29" s="24"/>
    </row>
    <row r="30" spans="1:21" ht="15.95" customHeight="1">
      <c r="A30" s="407"/>
      <c r="B30" s="408"/>
      <c r="C30" s="408"/>
      <c r="D30" s="986" t="s">
        <v>510</v>
      </c>
      <c r="E30" s="986"/>
      <c r="F30" s="986"/>
      <c r="G30" s="986"/>
      <c r="H30" s="986"/>
      <c r="I30" s="986"/>
      <c r="J30" s="986"/>
      <c r="K30" s="986"/>
      <c r="L30" s="408"/>
      <c r="M30" s="408"/>
      <c r="N30" s="408"/>
      <c r="O30" s="408"/>
      <c r="P30" s="408"/>
      <c r="Q30" s="408"/>
      <c r="R30" s="408"/>
      <c r="S30" s="408"/>
      <c r="T30" s="408"/>
      <c r="U30" s="24"/>
    </row>
    <row r="31" spans="1:21" ht="15.95" customHeight="1">
      <c r="A31" s="407"/>
      <c r="B31" s="408"/>
      <c r="C31" s="408"/>
      <c r="D31" s="408"/>
      <c r="E31" s="408"/>
      <c r="F31" s="408"/>
      <c r="G31" s="408"/>
      <c r="H31" s="408"/>
      <c r="I31" s="408"/>
      <c r="J31" s="408"/>
      <c r="K31" s="408"/>
      <c r="L31" s="408"/>
      <c r="M31" s="408"/>
      <c r="N31" s="408"/>
      <c r="O31" s="408"/>
      <c r="P31" s="408"/>
      <c r="Q31" s="408"/>
      <c r="R31" s="408"/>
      <c r="S31" s="408"/>
      <c r="T31" s="408"/>
      <c r="U31" s="24"/>
    </row>
    <row r="32" spans="1:21" ht="15.95" customHeight="1">
      <c r="A32" s="407"/>
      <c r="B32" s="454"/>
      <c r="C32" s="365"/>
      <c r="D32" s="975" t="s">
        <v>511</v>
      </c>
      <c r="E32" s="975"/>
      <c r="F32" s="975"/>
      <c r="G32" s="975"/>
      <c r="H32" s="975"/>
      <c r="I32" s="975"/>
      <c r="J32" s="975"/>
      <c r="K32" s="975"/>
      <c r="L32" s="408"/>
      <c r="M32" s="408"/>
      <c r="N32" s="408"/>
      <c r="O32" s="408"/>
      <c r="P32" s="408"/>
      <c r="Q32" s="408"/>
      <c r="R32" s="408"/>
      <c r="S32" s="408"/>
      <c r="T32" s="408"/>
      <c r="U32" s="24"/>
    </row>
    <row r="33" spans="1:21" ht="15.95" customHeight="1">
      <c r="A33" s="407"/>
      <c r="B33" s="408"/>
      <c r="C33" s="408"/>
      <c r="D33" s="408"/>
      <c r="E33" s="408"/>
      <c r="F33" s="408"/>
      <c r="G33" s="408"/>
      <c r="H33" s="408"/>
      <c r="I33" s="408"/>
      <c r="J33" s="408"/>
      <c r="K33" s="408"/>
      <c r="L33" s="408"/>
      <c r="M33" s="408"/>
      <c r="N33" s="408"/>
      <c r="O33" s="408"/>
      <c r="P33" s="408"/>
      <c r="Q33" s="408"/>
      <c r="R33" s="408"/>
      <c r="S33" s="408"/>
      <c r="T33" s="408"/>
      <c r="U33" s="24"/>
    </row>
    <row r="34" spans="1:21" ht="15.95" customHeight="1">
      <c r="A34" s="293"/>
      <c r="B34" s="411"/>
      <c r="C34" s="411"/>
      <c r="D34" s="995"/>
      <c r="E34" s="995"/>
      <c r="F34" s="995"/>
      <c r="G34" s="995"/>
      <c r="H34" s="995"/>
      <c r="I34" s="995"/>
      <c r="J34" s="995"/>
      <c r="K34" s="995"/>
      <c r="L34" s="995"/>
      <c r="M34" s="995"/>
      <c r="N34" s="995"/>
      <c r="O34" s="995"/>
      <c r="P34" s="995"/>
      <c r="Q34" s="995"/>
      <c r="R34" s="995"/>
      <c r="S34" s="995"/>
      <c r="T34" s="995"/>
      <c r="U34" s="24"/>
    </row>
    <row r="35" spans="1:21" ht="15.95" customHeight="1">
      <c r="A35" s="293"/>
      <c r="B35" s="410"/>
      <c r="C35" s="410"/>
      <c r="D35" s="994"/>
      <c r="E35" s="994"/>
      <c r="F35" s="994"/>
      <c r="G35" s="994"/>
      <c r="H35" s="994"/>
      <c r="I35" s="994"/>
      <c r="J35" s="994"/>
      <c r="K35" s="994"/>
      <c r="L35" s="994"/>
      <c r="M35" s="994"/>
      <c r="N35" s="994"/>
      <c r="O35" s="994"/>
      <c r="P35" s="994"/>
      <c r="Q35" s="994"/>
      <c r="R35" s="994"/>
      <c r="S35" s="994"/>
      <c r="T35" s="994"/>
      <c r="U35" s="24"/>
    </row>
    <row r="36" spans="1:21" ht="15.95" customHeight="1">
      <c r="A36" s="293"/>
      <c r="B36" s="410"/>
      <c r="C36" s="410"/>
      <c r="D36" s="994"/>
      <c r="E36" s="994"/>
      <c r="F36" s="994"/>
      <c r="G36" s="994"/>
      <c r="H36" s="994"/>
      <c r="I36" s="994"/>
      <c r="J36" s="994"/>
      <c r="K36" s="994"/>
      <c r="L36" s="994"/>
      <c r="M36" s="994"/>
      <c r="N36" s="994"/>
      <c r="O36" s="994"/>
      <c r="P36" s="994"/>
      <c r="Q36" s="994"/>
      <c r="R36" s="994"/>
      <c r="S36" s="994"/>
      <c r="T36" s="994"/>
      <c r="U36" s="24"/>
    </row>
    <row r="37" spans="1:21" ht="15.95" customHeight="1">
      <c r="A37" s="293"/>
      <c r="B37" s="410"/>
      <c r="C37" s="410"/>
      <c r="D37" s="994"/>
      <c r="E37" s="994"/>
      <c r="F37" s="994"/>
      <c r="G37" s="994"/>
      <c r="H37" s="994"/>
      <c r="I37" s="994"/>
      <c r="J37" s="994"/>
      <c r="K37" s="994"/>
      <c r="L37" s="994"/>
      <c r="M37" s="994"/>
      <c r="N37" s="994"/>
      <c r="O37" s="994"/>
      <c r="P37" s="994"/>
      <c r="Q37" s="994"/>
      <c r="R37" s="994"/>
      <c r="S37" s="994"/>
      <c r="T37" s="994"/>
      <c r="U37" s="24"/>
    </row>
    <row r="38" spans="1:21" ht="15.95" customHeight="1">
      <c r="A38" s="293"/>
      <c r="B38" s="410"/>
      <c r="C38" s="410"/>
      <c r="D38" s="994"/>
      <c r="E38" s="994"/>
      <c r="F38" s="994"/>
      <c r="G38" s="994"/>
      <c r="H38" s="994"/>
      <c r="I38" s="994"/>
      <c r="J38" s="994"/>
      <c r="K38" s="994"/>
      <c r="L38" s="994"/>
      <c r="M38" s="994"/>
      <c r="N38" s="994"/>
      <c r="O38" s="994"/>
      <c r="P38" s="994"/>
      <c r="Q38" s="994"/>
      <c r="R38" s="994"/>
      <c r="S38" s="994"/>
      <c r="T38" s="994"/>
      <c r="U38" s="24"/>
    </row>
    <row r="39" spans="1:21" ht="15.95" customHeight="1">
      <c r="A39" s="293"/>
      <c r="B39" s="410"/>
      <c r="C39" s="410"/>
      <c r="D39" s="410"/>
      <c r="E39" s="410"/>
      <c r="F39" s="410"/>
      <c r="G39" s="410"/>
      <c r="H39" s="410"/>
      <c r="I39" s="410"/>
      <c r="J39" s="410"/>
      <c r="K39" s="410"/>
      <c r="L39" s="410"/>
      <c r="M39" s="410"/>
      <c r="N39" s="410"/>
      <c r="O39" s="410"/>
      <c r="P39" s="410"/>
      <c r="Q39" s="410"/>
      <c r="R39" s="410"/>
      <c r="S39" s="410"/>
      <c r="T39" s="410"/>
      <c r="U39" s="24"/>
    </row>
    <row r="40" spans="1:21" ht="15.95" customHeight="1">
      <c r="A40" s="293"/>
      <c r="B40" s="369"/>
      <c r="C40" s="369"/>
      <c r="D40" s="369"/>
      <c r="E40" s="369"/>
      <c r="F40" s="369"/>
      <c r="G40" s="369"/>
      <c r="H40" s="400"/>
      <c r="I40" s="400"/>
      <c r="J40" s="400"/>
      <c r="K40" s="400"/>
      <c r="L40" s="400"/>
      <c r="M40" s="400"/>
      <c r="N40" s="400"/>
      <c r="O40" s="400"/>
      <c r="P40" s="400"/>
      <c r="Q40" s="400"/>
      <c r="R40" s="400"/>
      <c r="S40" s="400"/>
      <c r="T40" s="400"/>
      <c r="U40" s="24"/>
    </row>
    <row r="41" spans="1:21" ht="15.95" customHeight="1">
      <c r="A41" s="293"/>
      <c r="B41" s="989" t="s">
        <v>164</v>
      </c>
      <c r="C41" s="989"/>
      <c r="D41" s="989"/>
      <c r="E41" s="989"/>
      <c r="F41" s="989"/>
      <c r="G41" s="989"/>
      <c r="H41" s="989"/>
      <c r="I41" s="989"/>
      <c r="J41" s="989"/>
      <c r="K41" s="989"/>
      <c r="L41" s="989"/>
      <c r="M41" s="989"/>
      <c r="N41" s="989"/>
      <c r="O41" s="989"/>
      <c r="P41" s="989"/>
      <c r="Q41" s="989"/>
      <c r="R41" s="989"/>
      <c r="S41" s="989"/>
      <c r="T41" s="989"/>
      <c r="U41" s="24"/>
    </row>
    <row r="42" spans="1:21" ht="15.95" customHeight="1">
      <c r="A42" s="293"/>
      <c r="B42" s="989"/>
      <c r="C42" s="989"/>
      <c r="D42" s="989"/>
      <c r="E42" s="989"/>
      <c r="F42" s="989"/>
      <c r="G42" s="989"/>
      <c r="H42" s="989"/>
      <c r="I42" s="989"/>
      <c r="J42" s="989"/>
      <c r="K42" s="989"/>
      <c r="L42" s="989"/>
      <c r="M42" s="989"/>
      <c r="N42" s="989"/>
      <c r="O42" s="989"/>
      <c r="P42" s="989"/>
      <c r="Q42" s="989"/>
      <c r="R42" s="989"/>
      <c r="S42" s="989"/>
      <c r="T42" s="989"/>
      <c r="U42" s="24"/>
    </row>
    <row r="43" spans="1:21" ht="15.95" customHeight="1">
      <c r="A43" s="293"/>
      <c r="B43" s="989"/>
      <c r="C43" s="989"/>
      <c r="D43" s="989"/>
      <c r="E43" s="989"/>
      <c r="F43" s="989"/>
      <c r="G43" s="989"/>
      <c r="H43" s="989"/>
      <c r="I43" s="989"/>
      <c r="J43" s="989"/>
      <c r="K43" s="989"/>
      <c r="L43" s="989"/>
      <c r="M43" s="989"/>
      <c r="N43" s="989"/>
      <c r="O43" s="989"/>
      <c r="P43" s="989"/>
      <c r="Q43" s="989"/>
      <c r="R43" s="989"/>
      <c r="S43" s="989"/>
      <c r="T43" s="989"/>
      <c r="U43" s="24"/>
    </row>
    <row r="44" spans="1:21" ht="15.95" customHeight="1">
      <c r="A44" s="293"/>
      <c r="B44" s="989"/>
      <c r="C44" s="989"/>
      <c r="D44" s="989"/>
      <c r="E44" s="989"/>
      <c r="F44" s="989"/>
      <c r="G44" s="989"/>
      <c r="H44" s="989"/>
      <c r="I44" s="989"/>
      <c r="J44" s="989"/>
      <c r="K44" s="989"/>
      <c r="L44" s="989"/>
      <c r="M44" s="989"/>
      <c r="N44" s="989"/>
      <c r="O44" s="989"/>
      <c r="P44" s="989"/>
      <c r="Q44" s="989"/>
      <c r="R44" s="989"/>
      <c r="S44" s="989"/>
      <c r="T44" s="989"/>
      <c r="U44" s="24"/>
    </row>
    <row r="45" spans="1:21" ht="15.95" customHeight="1">
      <c r="A45" s="293"/>
      <c r="B45" s="409"/>
      <c r="C45" s="409"/>
      <c r="D45" s="409"/>
      <c r="E45" s="409"/>
      <c r="F45" s="409"/>
      <c r="G45" s="409"/>
      <c r="H45" s="409"/>
      <c r="I45" s="409"/>
      <c r="J45" s="409"/>
      <c r="K45" s="409"/>
      <c r="L45" s="409"/>
      <c r="M45" s="409"/>
      <c r="N45" s="409"/>
      <c r="O45" s="409"/>
      <c r="P45" s="409"/>
      <c r="Q45" s="409"/>
      <c r="R45" s="409"/>
      <c r="S45" s="409"/>
      <c r="T45" s="409"/>
      <c r="U45" s="24"/>
    </row>
    <row r="46" spans="1:21" ht="15.95" customHeight="1">
      <c r="A46" s="293"/>
      <c r="B46" s="409"/>
      <c r="C46" s="409"/>
      <c r="D46" s="409"/>
      <c r="E46" s="409"/>
      <c r="F46" s="409"/>
      <c r="G46" s="409"/>
      <c r="H46" s="409"/>
      <c r="I46" s="409"/>
      <c r="J46" s="409"/>
      <c r="K46" s="409"/>
      <c r="L46" s="409"/>
      <c r="M46" s="409"/>
      <c r="N46" s="409"/>
      <c r="O46" s="409"/>
      <c r="P46" s="409"/>
      <c r="Q46" s="409"/>
      <c r="R46" s="409"/>
      <c r="S46" s="409"/>
      <c r="T46" s="409"/>
      <c r="U46" s="24"/>
    </row>
    <row r="47" spans="1:21" ht="15.95" customHeight="1">
      <c r="A47" s="293"/>
      <c r="B47" s="409"/>
      <c r="C47" s="409"/>
      <c r="D47" s="409"/>
      <c r="E47" s="409"/>
      <c r="F47" s="409"/>
      <c r="G47" s="409"/>
      <c r="H47" s="409"/>
      <c r="I47" s="409"/>
      <c r="J47" s="409"/>
      <c r="K47" s="409"/>
      <c r="L47" s="409"/>
      <c r="M47" s="409"/>
      <c r="N47" s="409"/>
      <c r="O47" s="409"/>
      <c r="P47" s="409"/>
      <c r="Q47" s="409"/>
      <c r="R47" s="409"/>
      <c r="S47" s="409"/>
      <c r="T47" s="409"/>
      <c r="U47" s="24"/>
    </row>
    <row r="48" spans="1:21" ht="15.95" customHeight="1">
      <c r="A48" s="293"/>
      <c r="B48" s="409"/>
      <c r="C48" s="409"/>
      <c r="D48" s="409"/>
      <c r="E48" s="409"/>
      <c r="F48" s="409"/>
      <c r="G48" s="409"/>
      <c r="H48" s="409"/>
      <c r="I48" s="409"/>
      <c r="J48" s="409"/>
      <c r="K48" s="409"/>
      <c r="L48" s="409"/>
      <c r="M48" s="409"/>
      <c r="N48" s="409"/>
      <c r="O48" s="409"/>
      <c r="P48" s="409"/>
      <c r="Q48" s="409"/>
      <c r="R48" s="409"/>
      <c r="S48" s="409"/>
      <c r="T48" s="409"/>
      <c r="U48" s="24"/>
    </row>
    <row r="49" spans="1:21" ht="15.95" customHeight="1">
      <c r="A49" s="293"/>
      <c r="B49" s="369"/>
      <c r="C49" s="369"/>
      <c r="D49" s="369"/>
      <c r="E49" s="369"/>
      <c r="F49" s="369"/>
      <c r="G49" s="369"/>
      <c r="H49" s="400"/>
      <c r="I49" s="400"/>
      <c r="J49" s="400"/>
      <c r="K49" s="400"/>
      <c r="L49" s="400"/>
      <c r="M49" s="400"/>
      <c r="N49" s="400"/>
      <c r="O49" s="369"/>
      <c r="P49" s="369"/>
      <c r="Q49" s="369"/>
      <c r="R49" s="369"/>
      <c r="S49" s="369"/>
      <c r="T49" s="369"/>
      <c r="U49" s="24"/>
    </row>
    <row r="50" spans="1:21" ht="15.95" customHeight="1">
      <c r="A50" s="293"/>
      <c r="B50" s="369"/>
      <c r="C50" s="369"/>
      <c r="D50" s="369"/>
      <c r="E50" s="369"/>
      <c r="F50" s="369"/>
      <c r="G50" s="369"/>
      <c r="H50" s="400"/>
      <c r="I50" s="400"/>
      <c r="J50" s="400"/>
      <c r="K50" s="400"/>
      <c r="L50" s="400"/>
      <c r="M50" s="400"/>
      <c r="N50" s="400"/>
      <c r="O50" s="973">
        <f>'Data Entry'!B35</f>
        <v>0</v>
      </c>
      <c r="P50" s="973"/>
      <c r="Q50" s="973"/>
      <c r="R50" s="973"/>
      <c r="S50" s="973"/>
      <c r="T50" s="973"/>
      <c r="U50" s="24"/>
    </row>
    <row r="51" spans="1:21" ht="15.95" customHeight="1">
      <c r="A51" s="293"/>
      <c r="B51" s="369"/>
      <c r="C51" s="369"/>
      <c r="D51" s="369"/>
      <c r="E51" s="369"/>
      <c r="F51" s="369"/>
      <c r="G51" s="369"/>
      <c r="H51" s="400"/>
      <c r="I51" s="400"/>
      <c r="J51" s="400"/>
      <c r="K51" s="400"/>
      <c r="L51" s="400"/>
      <c r="M51" s="400"/>
      <c r="N51" s="400"/>
      <c r="O51" s="971" t="s">
        <v>23</v>
      </c>
      <c r="P51" s="974"/>
      <c r="Q51" s="974"/>
      <c r="R51" s="974"/>
      <c r="S51" s="974"/>
      <c r="T51" s="974"/>
      <c r="U51" s="24"/>
    </row>
    <row r="52" spans="1:21" ht="15.95" customHeight="1">
      <c r="A52" s="293"/>
      <c r="B52" s="400"/>
      <c r="C52" s="400"/>
      <c r="D52" s="400"/>
      <c r="E52" s="400"/>
      <c r="F52" s="400"/>
      <c r="G52" s="400"/>
      <c r="H52" s="400"/>
      <c r="I52" s="400"/>
      <c r="J52" s="400"/>
      <c r="K52" s="400"/>
      <c r="L52" s="400"/>
      <c r="M52" s="400"/>
      <c r="N52" s="400"/>
      <c r="O52" s="400"/>
      <c r="P52" s="400"/>
      <c r="Q52" s="400"/>
      <c r="R52" s="400"/>
      <c r="S52" s="400"/>
      <c r="T52" s="400"/>
      <c r="U52" s="24"/>
    </row>
    <row r="53" spans="1:21" ht="15.95" customHeight="1">
      <c r="A53" s="293"/>
      <c r="B53" s="400"/>
      <c r="C53" s="400"/>
      <c r="D53" s="400"/>
      <c r="E53" s="400"/>
      <c r="F53" s="400"/>
      <c r="G53" s="400"/>
      <c r="H53" s="400"/>
      <c r="I53" s="400"/>
      <c r="J53" s="400"/>
      <c r="K53" s="400"/>
      <c r="L53" s="400"/>
      <c r="M53" s="400"/>
      <c r="N53" s="400"/>
      <c r="O53" s="400"/>
      <c r="P53" s="400"/>
      <c r="Q53" s="400"/>
      <c r="R53" s="400"/>
      <c r="S53" s="400"/>
      <c r="T53" s="400"/>
      <c r="U53" s="24"/>
    </row>
    <row r="54" spans="1:21" ht="15.95" customHeight="1">
      <c r="A54" s="293"/>
      <c r="B54" s="400"/>
      <c r="C54" s="400"/>
      <c r="D54" s="400"/>
      <c r="E54" s="400"/>
      <c r="F54" s="400"/>
      <c r="G54" s="400"/>
      <c r="H54" s="400"/>
      <c r="I54" s="400"/>
      <c r="J54" s="400"/>
      <c r="K54" s="400"/>
      <c r="L54" s="400"/>
      <c r="M54" s="400"/>
      <c r="N54" s="400"/>
      <c r="O54" s="400"/>
      <c r="P54" s="400"/>
      <c r="Q54" s="400"/>
      <c r="R54" s="400"/>
      <c r="S54" s="400"/>
      <c r="T54" s="400"/>
      <c r="U54" s="24"/>
    </row>
    <row r="55" spans="1:21" ht="15.95" customHeight="1">
      <c r="A55" s="293"/>
      <c r="B55" s="400"/>
      <c r="C55" s="400"/>
      <c r="D55" s="400"/>
      <c r="E55" s="400"/>
      <c r="F55" s="400"/>
      <c r="G55" s="400"/>
      <c r="H55" s="400"/>
      <c r="I55" s="400"/>
      <c r="J55" s="400"/>
      <c r="K55" s="400"/>
      <c r="L55" s="400"/>
      <c r="M55" s="400"/>
      <c r="N55" s="400"/>
      <c r="O55" s="400"/>
      <c r="P55" s="400"/>
      <c r="Q55" s="400"/>
      <c r="R55" s="400"/>
      <c r="S55" s="400"/>
      <c r="T55" s="400"/>
      <c r="U55" s="24"/>
    </row>
    <row r="56" spans="1:21" ht="15.95" customHeight="1">
      <c r="A56" s="293"/>
      <c r="B56" s="369"/>
      <c r="C56" s="400"/>
      <c r="D56" s="400"/>
      <c r="E56" s="400"/>
      <c r="F56" s="400"/>
      <c r="G56" s="400"/>
      <c r="H56" s="400"/>
      <c r="I56" s="400"/>
      <c r="J56" s="400"/>
      <c r="K56" s="400"/>
      <c r="L56" s="400"/>
      <c r="M56" s="400"/>
      <c r="N56" s="400"/>
      <c r="O56" s="400"/>
      <c r="P56" s="400"/>
      <c r="Q56" s="400"/>
      <c r="R56" s="400"/>
      <c r="S56" s="400"/>
      <c r="T56" s="400"/>
      <c r="U56" s="24"/>
    </row>
    <row r="57" spans="1:21" ht="15.95" customHeight="1">
      <c r="A57" s="293"/>
      <c r="B57" s="970" t="s">
        <v>142</v>
      </c>
      <c r="C57" s="970"/>
      <c r="D57" s="970"/>
      <c r="E57" s="970"/>
      <c r="F57" s="970"/>
      <c r="G57" s="970"/>
      <c r="H57" s="970"/>
      <c r="I57" s="970"/>
      <c r="J57" s="970"/>
      <c r="K57" s="970"/>
      <c r="L57" s="970"/>
      <c r="M57" s="970"/>
      <c r="N57" s="970"/>
      <c r="O57" s="970"/>
      <c r="P57" s="970"/>
      <c r="Q57" s="970"/>
      <c r="R57" s="970"/>
      <c r="S57" s="970"/>
      <c r="T57" s="970"/>
      <c r="U57" s="24"/>
    </row>
    <row r="58" spans="1:21" ht="15.95" customHeight="1">
      <c r="A58" s="293"/>
      <c r="B58" s="971" t="s">
        <v>143</v>
      </c>
      <c r="C58" s="971"/>
      <c r="D58" s="971"/>
      <c r="E58" s="971"/>
      <c r="F58" s="971"/>
      <c r="G58" s="971"/>
      <c r="H58" s="971"/>
      <c r="I58" s="971"/>
      <c r="J58" s="971"/>
      <c r="K58" s="971"/>
      <c r="L58" s="971"/>
      <c r="M58" s="971"/>
      <c r="N58" s="971"/>
      <c r="O58" s="971"/>
      <c r="P58" s="971"/>
      <c r="Q58" s="971"/>
      <c r="R58" s="971"/>
      <c r="S58" s="971"/>
      <c r="T58" s="971"/>
      <c r="U58" s="24"/>
    </row>
    <row r="59" spans="1:21" ht="15.95" customHeight="1" thickBot="1">
      <c r="A59" s="36"/>
      <c r="B59" s="37"/>
      <c r="C59" s="406"/>
      <c r="D59" s="406"/>
      <c r="E59" s="406"/>
      <c r="F59" s="406"/>
      <c r="G59" s="406"/>
      <c r="H59" s="406"/>
      <c r="I59" s="406"/>
      <c r="J59" s="406"/>
      <c r="K59" s="406"/>
      <c r="L59" s="406"/>
      <c r="M59" s="406"/>
      <c r="N59" s="406"/>
      <c r="O59" s="406"/>
      <c r="P59" s="406"/>
      <c r="Q59" s="406"/>
      <c r="R59" s="406"/>
      <c r="S59" s="406"/>
      <c r="T59" s="37"/>
      <c r="U59" s="38"/>
    </row>
  </sheetData>
  <mergeCells count="48">
    <mergeCell ref="X3:AF11"/>
    <mergeCell ref="X1:AF2"/>
    <mergeCell ref="P2:R2"/>
    <mergeCell ref="S2:U2"/>
    <mergeCell ref="B6:J6"/>
    <mergeCell ref="M6:O6"/>
    <mergeCell ref="P6:T6"/>
    <mergeCell ref="F1:O2"/>
    <mergeCell ref="P1:R1"/>
    <mergeCell ref="S1:U1"/>
    <mergeCell ref="B4:J4"/>
    <mergeCell ref="M4:O4"/>
    <mergeCell ref="P4:T4"/>
    <mergeCell ref="B5:J5"/>
    <mergeCell ref="M5:O5"/>
    <mergeCell ref="P5:T5"/>
    <mergeCell ref="D20:J20"/>
    <mergeCell ref="B7:J7"/>
    <mergeCell ref="M7:O7"/>
    <mergeCell ref="B8:J8"/>
    <mergeCell ref="B9:J9"/>
    <mergeCell ref="B12:T12"/>
    <mergeCell ref="M14:T14"/>
    <mergeCell ref="D15:K15"/>
    <mergeCell ref="D17:K17"/>
    <mergeCell ref="D19:K19"/>
    <mergeCell ref="P7:T7"/>
    <mergeCell ref="M8:O8"/>
    <mergeCell ref="P8:Q8"/>
    <mergeCell ref="R8:T8"/>
    <mergeCell ref="D21:K21"/>
    <mergeCell ref="D22:K22"/>
    <mergeCell ref="D23:K23"/>
    <mergeCell ref="D26:K26"/>
    <mergeCell ref="D29:K29"/>
    <mergeCell ref="B57:T57"/>
    <mergeCell ref="B58:T58"/>
    <mergeCell ref="D27:K27"/>
    <mergeCell ref="D30:K30"/>
    <mergeCell ref="D32:K32"/>
    <mergeCell ref="D38:T38"/>
    <mergeCell ref="D37:T37"/>
    <mergeCell ref="D36:T36"/>
    <mergeCell ref="D35:T35"/>
    <mergeCell ref="D34:T34"/>
    <mergeCell ref="B41:T44"/>
    <mergeCell ref="O50:T50"/>
    <mergeCell ref="O51:T51"/>
  </mergeCells>
  <conditionalFormatting sqref="B4:J4">
    <cfRule type="cellIs" dxfId="3" priority="1" operator="equal">
      <formula>0</formula>
    </cfRule>
  </conditionalFormatting>
  <pageMargins left="3.937007874015748E-2" right="3.937007874015748E-2" top="0.74803149606299213" bottom="0.74803149606299213" header="0.31496062992125984" footer="0.31496062992125984"/>
  <pageSetup paperSize="9"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A16FC20F-C4E5-4DEF-BD80-8C07308DFACA}">
          <x14:formula1>
            <xm:f>'Data Entry'!$B$11:$C$11</xm:f>
          </x14:formula1>
          <xm:sqref>P5:T5</xm:sqref>
        </x14:dataValidation>
        <x14:dataValidation type="list" allowBlank="1" showInputMessage="1" showErrorMessage="1" xr:uid="{70F04785-0B35-4EBC-BAD4-2DBD403613D9}">
          <x14:formula1>
            <xm:f>'Data Entry'!$B$13:$C$13</xm:f>
          </x14:formula1>
          <xm:sqref>B4:J4</xm:sqref>
        </x14:dataValidation>
        <x14:dataValidation type="list" allowBlank="1" showInputMessage="1" showErrorMessage="1" xr:uid="{1036742B-E41E-4913-91B6-0274F8F29C9A}">
          <x14:formula1>
            <xm:f>'Data Entry'!$B$15:$C$15</xm:f>
          </x14:formula1>
          <xm:sqref>R8:T8</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tabColor rgb="FFFF0000"/>
    <pageSetUpPr fitToPage="1"/>
  </sheetPr>
  <dimension ref="A1:Z64"/>
  <sheetViews>
    <sheetView workbookViewId="0"/>
  </sheetViews>
  <sheetFormatPr baseColWidth="10" defaultColWidth="9" defaultRowHeight="12.75"/>
  <cols>
    <col min="1" max="1" width="1.28515625" style="92" customWidth="1"/>
    <col min="2" max="2" width="2.5703125" style="92" customWidth="1"/>
    <col min="3" max="3" width="6.28515625" style="92" customWidth="1"/>
    <col min="4" max="4" width="3.7109375" style="92" customWidth="1"/>
    <col min="5" max="5" width="9" style="92"/>
    <col min="6" max="6" width="7.5703125" style="92" customWidth="1"/>
    <col min="7" max="7" width="9" style="92"/>
    <col min="8" max="8" width="12" style="92" customWidth="1"/>
    <col min="9" max="9" width="11.28515625" style="92" customWidth="1"/>
    <col min="10" max="10" width="10" style="92" customWidth="1"/>
    <col min="11" max="11" width="18.85546875" style="92" customWidth="1"/>
    <col min="12" max="12" width="18.28515625" style="92" customWidth="1"/>
    <col min="13" max="13" width="11.85546875" style="92" customWidth="1"/>
    <col min="14" max="14" width="2.85546875" style="92" customWidth="1"/>
    <col min="15" max="16384" width="9" style="92"/>
  </cols>
  <sheetData>
    <row r="1" spans="1:14" ht="13.5" thickBot="1">
      <c r="A1" s="65"/>
      <c r="B1" s="65"/>
      <c r="C1" s="65"/>
      <c r="D1" s="65"/>
      <c r="E1" s="65"/>
      <c r="F1" s="65"/>
      <c r="G1" s="65"/>
      <c r="H1" s="65"/>
      <c r="I1" s="65"/>
      <c r="J1" s="65"/>
      <c r="K1" s="65"/>
      <c r="L1" s="65"/>
      <c r="M1" s="65"/>
      <c r="N1" s="65"/>
    </row>
    <row r="2" spans="1:14" ht="21">
      <c r="A2" s="65"/>
      <c r="B2" s="127"/>
      <c r="C2" s="128"/>
      <c r="D2" s="128"/>
      <c r="E2" s="99"/>
      <c r="F2" s="852" t="s">
        <v>167</v>
      </c>
      <c r="G2" s="852"/>
      <c r="H2" s="852"/>
      <c r="I2" s="852"/>
      <c r="J2" s="852"/>
      <c r="K2" s="852"/>
      <c r="L2" s="110" t="s">
        <v>168</v>
      </c>
      <c r="M2" s="254" t="s">
        <v>2</v>
      </c>
      <c r="N2" s="129"/>
    </row>
    <row r="3" spans="1:14" ht="18.75" customHeight="1" thickBot="1">
      <c r="A3" s="65"/>
      <c r="B3" s="100"/>
      <c r="C3" s="101"/>
      <c r="D3" s="101"/>
      <c r="E3" s="101"/>
      <c r="F3" s="854"/>
      <c r="G3" s="854"/>
      <c r="H3" s="854"/>
      <c r="I3" s="854"/>
      <c r="J3" s="854"/>
      <c r="K3" s="854"/>
      <c r="L3" s="111" t="s">
        <v>3</v>
      </c>
      <c r="M3" s="255">
        <v>42917</v>
      </c>
      <c r="N3" s="130"/>
    </row>
    <row r="4" spans="1:14">
      <c r="A4" s="65"/>
      <c r="B4" s="104"/>
      <c r="C4" s="69"/>
      <c r="D4" s="69"/>
      <c r="E4" s="69"/>
      <c r="F4" s="131"/>
      <c r="G4" s="131"/>
      <c r="H4" s="131"/>
      <c r="I4" s="131"/>
      <c r="J4" s="131"/>
      <c r="K4" s="131"/>
      <c r="L4" s="113"/>
      <c r="M4" s="132"/>
      <c r="N4" s="67"/>
    </row>
    <row r="5" spans="1:14" ht="15.75">
      <c r="A5" s="65"/>
      <c r="B5" s="102"/>
      <c r="C5" s="23" t="s">
        <v>147</v>
      </c>
      <c r="D5" s="23"/>
      <c r="E5" s="1031" t="s">
        <v>6</v>
      </c>
      <c r="F5" s="1031"/>
      <c r="G5" s="1031"/>
      <c r="H5" s="23"/>
      <c r="I5" s="206" t="s">
        <v>4</v>
      </c>
      <c r="J5" s="1031" t="s">
        <v>95</v>
      </c>
      <c r="K5" s="1031"/>
      <c r="L5" s="1031"/>
      <c r="M5" s="1031"/>
      <c r="N5" s="67"/>
    </row>
    <row r="6" spans="1:14" ht="15.75">
      <c r="A6" s="65"/>
      <c r="B6" s="102"/>
      <c r="C6" s="23" t="s">
        <v>90</v>
      </c>
      <c r="D6" s="23"/>
      <c r="E6" s="1032">
        <f>'Data Entry'!B19</f>
        <v>0</v>
      </c>
      <c r="F6" s="1032"/>
      <c r="G6" s="1032"/>
      <c r="H6" s="23"/>
      <c r="I6" s="23"/>
      <c r="J6" s="630" t="str">
        <f>NOR!B6</f>
        <v/>
      </c>
      <c r="K6" s="630"/>
      <c r="L6" s="630"/>
      <c r="M6" s="630"/>
      <c r="N6" s="67"/>
    </row>
    <row r="7" spans="1:14" ht="15.75">
      <c r="A7" s="65"/>
      <c r="B7" s="102"/>
      <c r="C7" s="23" t="s">
        <v>25</v>
      </c>
      <c r="D7" s="23"/>
      <c r="E7" s="1030">
        <f ca="1">TODAY()</f>
        <v>46025</v>
      </c>
      <c r="F7" s="1030"/>
      <c r="G7" s="1030"/>
      <c r="H7" s="23"/>
      <c r="I7" s="23"/>
      <c r="J7" s="1031">
        <f>NOR!B4</f>
        <v>0</v>
      </c>
      <c r="K7" s="1031"/>
      <c r="L7" s="1031"/>
      <c r="M7" s="1031"/>
      <c r="N7" s="67"/>
    </row>
    <row r="8" spans="1:14" ht="15.75">
      <c r="A8" s="65"/>
      <c r="B8" s="102"/>
      <c r="C8" s="23" t="s">
        <v>98</v>
      </c>
      <c r="D8" s="23"/>
      <c r="E8" s="630">
        <f>'Data Entry'!B11</f>
        <v>0</v>
      </c>
      <c r="F8" s="630"/>
      <c r="G8" s="630"/>
      <c r="H8" s="23"/>
      <c r="I8" s="23"/>
      <c r="J8" s="1022"/>
      <c r="K8" s="1022"/>
      <c r="L8" s="1022"/>
      <c r="M8" s="1022"/>
      <c r="N8" s="67"/>
    </row>
    <row r="9" spans="1:14" ht="15.75">
      <c r="A9" s="65"/>
      <c r="B9" s="102"/>
      <c r="C9" s="23" t="s">
        <v>148</v>
      </c>
      <c r="D9" s="23"/>
      <c r="E9" s="115"/>
      <c r="F9" s="1023" t="str">
        <f>NOR!P7</f>
        <v/>
      </c>
      <c r="G9" s="1023"/>
      <c r="H9" s="23"/>
      <c r="I9" s="23"/>
      <c r="J9" s="1024"/>
      <c r="K9" s="1024"/>
      <c r="L9" s="1024"/>
      <c r="M9" s="1024"/>
      <c r="N9" s="67"/>
    </row>
    <row r="10" spans="1:14" ht="15.75">
      <c r="A10" s="65"/>
      <c r="B10" s="102"/>
      <c r="C10" s="23" t="s">
        <v>140</v>
      </c>
      <c r="D10" s="23"/>
      <c r="E10" s="115"/>
      <c r="F10" s="1025" t="s">
        <v>350</v>
      </c>
      <c r="G10" s="1025"/>
      <c r="H10" s="1025"/>
      <c r="I10" s="1025"/>
      <c r="J10" s="206"/>
      <c r="K10" s="206"/>
      <c r="L10" s="206"/>
      <c r="M10" s="206"/>
      <c r="N10" s="67"/>
    </row>
    <row r="11" spans="1:14" ht="15.75">
      <c r="A11" s="65"/>
      <c r="B11" s="104"/>
      <c r="C11" s="103"/>
      <c r="D11" s="103"/>
      <c r="E11" s="103"/>
      <c r="F11" s="103"/>
      <c r="G11" s="103"/>
      <c r="H11" s="103"/>
      <c r="I11" s="103"/>
      <c r="J11" s="103"/>
      <c r="K11" s="103"/>
      <c r="L11" s="103"/>
      <c r="M11" s="105"/>
      <c r="N11" s="67"/>
    </row>
    <row r="12" spans="1:14" ht="15.75">
      <c r="A12" s="65"/>
      <c r="B12" s="104"/>
      <c r="C12" s="106" t="s">
        <v>169</v>
      </c>
      <c r="D12" s="103"/>
      <c r="E12" s="103"/>
      <c r="F12" s="103"/>
      <c r="G12" s="103"/>
      <c r="H12" s="103"/>
      <c r="I12" s="103"/>
      <c r="J12" s="103"/>
      <c r="K12" s="103"/>
      <c r="L12" s="103"/>
      <c r="M12" s="105"/>
      <c r="N12" s="67"/>
    </row>
    <row r="13" spans="1:14" ht="15.75">
      <c r="A13" s="65"/>
      <c r="B13" s="104"/>
      <c r="C13" s="106" t="s">
        <v>170</v>
      </c>
      <c r="D13" s="103"/>
      <c r="E13" s="103"/>
      <c r="F13" s="103"/>
      <c r="G13" s="103"/>
      <c r="H13" s="103"/>
      <c r="I13" s="103"/>
      <c r="J13" s="103"/>
      <c r="K13" s="103"/>
      <c r="L13" s="105"/>
      <c r="M13" s="105"/>
      <c r="N13" s="67"/>
    </row>
    <row r="14" spans="1:14">
      <c r="A14" s="65"/>
      <c r="B14" s="104"/>
      <c r="C14" s="133"/>
      <c r="D14" s="105"/>
      <c r="E14" s="105"/>
      <c r="F14" s="105"/>
      <c r="G14" s="105"/>
      <c r="H14" s="105"/>
      <c r="I14" s="105"/>
      <c r="J14" s="105"/>
      <c r="K14" s="105"/>
      <c r="L14" s="105"/>
      <c r="M14" s="105"/>
      <c r="N14" s="67"/>
    </row>
    <row r="15" spans="1:14">
      <c r="A15" s="65"/>
      <c r="B15" s="104"/>
      <c r="C15" s="219" t="s">
        <v>152</v>
      </c>
      <c r="D15" s="105"/>
      <c r="E15" s="105" t="s">
        <v>272</v>
      </c>
      <c r="F15" s="105"/>
      <c r="G15" s="105"/>
      <c r="H15" s="105"/>
      <c r="I15" s="105"/>
      <c r="J15" s="105"/>
      <c r="K15" s="105"/>
      <c r="L15" s="134"/>
      <c r="M15" s="105"/>
      <c r="N15" s="67"/>
    </row>
    <row r="16" spans="1:14">
      <c r="A16" s="65"/>
      <c r="B16" s="104"/>
      <c r="C16" s="133"/>
      <c r="D16" s="105"/>
      <c r="E16" s="105" t="s">
        <v>278</v>
      </c>
      <c r="F16" s="105"/>
      <c r="G16" s="105"/>
      <c r="H16" s="105"/>
      <c r="I16" s="105"/>
      <c r="J16" s="105"/>
      <c r="K16" s="105"/>
      <c r="L16" s="135"/>
      <c r="M16" s="136"/>
      <c r="N16" s="67"/>
    </row>
    <row r="17" spans="1:14">
      <c r="A17" s="65"/>
      <c r="B17" s="104"/>
      <c r="C17" s="133"/>
      <c r="D17" s="105"/>
      <c r="E17" s="105"/>
      <c r="F17" s="105"/>
      <c r="G17" s="105"/>
      <c r="H17" s="105"/>
      <c r="I17" s="105"/>
      <c r="J17" s="105"/>
      <c r="K17" s="105"/>
      <c r="L17" s="135"/>
      <c r="M17" s="136"/>
      <c r="N17" s="67"/>
    </row>
    <row r="18" spans="1:14">
      <c r="A18" s="65"/>
      <c r="B18" s="104"/>
      <c r="C18" s="1026" t="s">
        <v>279</v>
      </c>
      <c r="D18" s="1027"/>
      <c r="E18" s="1027"/>
      <c r="F18" s="1027"/>
      <c r="G18" s="1027"/>
      <c r="H18" s="1027"/>
      <c r="I18" s="1028"/>
      <c r="J18" s="1029"/>
      <c r="K18" s="1026" t="s">
        <v>280</v>
      </c>
      <c r="L18" s="1027"/>
      <c r="M18" s="1028"/>
      <c r="N18" s="67"/>
    </row>
    <row r="19" spans="1:14">
      <c r="A19" s="65"/>
      <c r="B19" s="104"/>
      <c r="C19" s="1012" t="s">
        <v>226</v>
      </c>
      <c r="D19" s="1013"/>
      <c r="E19" s="1012" t="s">
        <v>171</v>
      </c>
      <c r="F19" s="1013"/>
      <c r="G19" s="1012" t="s">
        <v>172</v>
      </c>
      <c r="H19" s="1013"/>
      <c r="I19" s="87" t="s">
        <v>173</v>
      </c>
      <c r="J19" s="1029"/>
      <c r="K19" s="259" t="s">
        <v>171</v>
      </c>
      <c r="L19" s="87" t="s">
        <v>172</v>
      </c>
      <c r="M19" s="87" t="s">
        <v>174</v>
      </c>
      <c r="N19" s="67"/>
    </row>
    <row r="20" spans="1:14" ht="25.15" customHeight="1">
      <c r="A20" s="65"/>
      <c r="B20" s="104"/>
      <c r="C20" s="1014" t="str">
        <f>F10</f>
        <v>UMS (OXY)</v>
      </c>
      <c r="D20" s="1015"/>
      <c r="E20" s="1016">
        <v>4063.2809999999999</v>
      </c>
      <c r="F20" s="1017"/>
      <c r="G20" s="1018">
        <v>4051.788</v>
      </c>
      <c r="H20" s="1019"/>
      <c r="I20" s="228">
        <f>(G20-E20)/E20*100</f>
        <v>-0.28285023851414504</v>
      </c>
      <c r="J20" s="222" t="str">
        <f>F10</f>
        <v>UMS (OXY)</v>
      </c>
      <c r="K20" s="260">
        <f>IF(E20="","",E20)</f>
        <v>4063.2809999999999</v>
      </c>
      <c r="L20" s="218">
        <v>4046.1149999999998</v>
      </c>
      <c r="M20" s="228">
        <f>(L20-K20)/L20*100</f>
        <v>-0.42425882605907567</v>
      </c>
      <c r="N20" s="67"/>
    </row>
    <row r="21" spans="1:14">
      <c r="A21" s="65"/>
      <c r="B21" s="104"/>
      <c r="C21" s="133"/>
      <c r="D21" s="105"/>
      <c r="E21" s="105"/>
      <c r="F21" s="105"/>
      <c r="G21" s="105"/>
      <c r="H21" s="105"/>
      <c r="I21" s="105"/>
      <c r="J21" s="105"/>
      <c r="K21" s="105"/>
      <c r="L21" s="105"/>
      <c r="M21" s="105"/>
      <c r="N21" s="67"/>
    </row>
    <row r="22" spans="1:14" ht="15">
      <c r="A22" s="65"/>
      <c r="B22" s="104"/>
      <c r="C22" s="219" t="s">
        <v>152</v>
      </c>
      <c r="D22" s="105"/>
      <c r="E22" s="105" t="s">
        <v>239</v>
      </c>
      <c r="F22" s="105"/>
      <c r="G22" s="105"/>
      <c r="H22" s="105"/>
      <c r="J22" s="257" t="s">
        <v>356</v>
      </c>
      <c r="K22" s="107"/>
      <c r="L22" s="232" t="s">
        <v>355</v>
      </c>
      <c r="M22" s="107"/>
      <c r="N22" s="67"/>
    </row>
    <row r="23" spans="1:14">
      <c r="A23" s="65"/>
      <c r="B23" s="104"/>
      <c r="C23" s="133"/>
      <c r="D23" s="105"/>
      <c r="E23" s="105"/>
      <c r="F23" s="105"/>
      <c r="G23" s="105"/>
      <c r="H23" s="105"/>
      <c r="I23" s="105"/>
      <c r="J23" s="256"/>
      <c r="K23" s="105"/>
      <c r="L23" s="105"/>
      <c r="M23" s="105"/>
      <c r="N23" s="67"/>
    </row>
    <row r="24" spans="1:14">
      <c r="A24" s="65"/>
      <c r="B24" s="104"/>
      <c r="C24" s="219"/>
      <c r="D24" s="105"/>
      <c r="E24" s="105" t="s">
        <v>177</v>
      </c>
      <c r="F24" s="105"/>
      <c r="G24" s="105"/>
      <c r="H24" s="105"/>
      <c r="J24" s="257" t="s">
        <v>175</v>
      </c>
      <c r="K24" s="107"/>
      <c r="L24" s="232" t="s">
        <v>176</v>
      </c>
      <c r="M24" s="107"/>
      <c r="N24" s="67"/>
    </row>
    <row r="25" spans="1:14">
      <c r="A25" s="65"/>
      <c r="B25" s="104"/>
      <c r="C25" s="133"/>
      <c r="D25" s="105"/>
      <c r="E25" s="105"/>
      <c r="F25" s="105"/>
      <c r="G25" s="105"/>
      <c r="H25" s="105"/>
      <c r="I25" s="105"/>
      <c r="J25" s="105"/>
      <c r="K25" s="105"/>
      <c r="L25" s="105"/>
      <c r="M25" s="105"/>
      <c r="N25" s="67"/>
    </row>
    <row r="26" spans="1:14" ht="15">
      <c r="A26" s="65"/>
      <c r="B26" s="104"/>
      <c r="C26" s="105"/>
      <c r="D26" s="105"/>
      <c r="E26" s="105"/>
      <c r="F26" s="105"/>
      <c r="G26" s="105"/>
      <c r="H26" s="105"/>
      <c r="I26" s="106" t="s">
        <v>150</v>
      </c>
      <c r="J26" s="105"/>
      <c r="K26" s="105"/>
      <c r="L26" s="105"/>
      <c r="M26" s="105"/>
      <c r="N26" s="67"/>
    </row>
    <row r="27" spans="1:14">
      <c r="A27" s="65"/>
      <c r="B27" s="104"/>
      <c r="C27" s="133"/>
      <c r="D27" s="105"/>
      <c r="E27" s="137"/>
      <c r="F27" s="105"/>
      <c r="G27" s="105"/>
      <c r="H27" s="105"/>
      <c r="I27" s="105"/>
      <c r="J27" s="105"/>
      <c r="K27" s="105"/>
      <c r="L27" s="105"/>
      <c r="M27" s="105"/>
      <c r="N27" s="67"/>
    </row>
    <row r="28" spans="1:14" ht="12.75" customHeight="1">
      <c r="A28" s="65"/>
      <c r="B28" s="104"/>
      <c r="C28" s="219"/>
      <c r="D28" s="105"/>
      <c r="E28" s="1020" t="s">
        <v>349</v>
      </c>
      <c r="F28" s="1020"/>
      <c r="G28" s="1020"/>
      <c r="H28" s="1020"/>
      <c r="I28" s="1020"/>
      <c r="J28" s="1020"/>
      <c r="K28" s="1020"/>
      <c r="L28" s="1020"/>
      <c r="M28" s="1020"/>
      <c r="N28" s="67"/>
    </row>
    <row r="29" spans="1:14">
      <c r="A29" s="65"/>
      <c r="B29" s="104"/>
      <c r="C29" s="133"/>
      <c r="D29" s="105"/>
      <c r="E29" s="105"/>
      <c r="F29" s="105"/>
      <c r="G29" s="105"/>
      <c r="H29" s="105"/>
      <c r="I29" s="105"/>
      <c r="J29" s="1021"/>
      <c r="K29" s="1021"/>
      <c r="L29" s="1021"/>
      <c r="M29" s="1021"/>
      <c r="N29" s="67"/>
    </row>
    <row r="30" spans="1:14">
      <c r="A30" s="65"/>
      <c r="B30" s="104"/>
      <c r="C30" s="219"/>
      <c r="D30" s="105"/>
      <c r="E30" s="105" t="s">
        <v>178</v>
      </c>
      <c r="F30" s="105"/>
      <c r="G30" s="105"/>
      <c r="H30" s="105"/>
      <c r="I30" s="1007"/>
      <c r="J30" s="1007"/>
      <c r="K30" s="1007"/>
      <c r="L30" s="1007"/>
      <c r="M30" s="1007"/>
      <c r="N30" s="67"/>
    </row>
    <row r="31" spans="1:14">
      <c r="A31" s="65"/>
      <c r="B31" s="104"/>
      <c r="C31" s="133"/>
      <c r="D31" s="105"/>
      <c r="E31" s="105" t="s">
        <v>179</v>
      </c>
      <c r="F31" s="105"/>
      <c r="G31" s="105"/>
      <c r="H31" s="105"/>
      <c r="I31" s="138"/>
      <c r="J31" s="138"/>
      <c r="K31" s="138"/>
      <c r="L31" s="138"/>
      <c r="M31" s="138"/>
      <c r="N31" s="67"/>
    </row>
    <row r="32" spans="1:14">
      <c r="A32" s="65"/>
      <c r="B32" s="104"/>
      <c r="C32" s="133"/>
      <c r="D32" s="105"/>
      <c r="E32" s="105"/>
      <c r="F32" s="105"/>
      <c r="G32" s="105"/>
      <c r="H32" s="105"/>
      <c r="I32" s="105"/>
      <c r="J32" s="1021"/>
      <c r="K32" s="1021"/>
      <c r="L32" s="1021"/>
      <c r="M32" s="1021"/>
      <c r="N32" s="67"/>
    </row>
    <row r="33" spans="1:18">
      <c r="A33" s="65"/>
      <c r="B33" s="104"/>
      <c r="C33" s="219"/>
      <c r="D33" s="105"/>
      <c r="E33" s="105" t="s">
        <v>180</v>
      </c>
      <c r="F33" s="105"/>
      <c r="G33" s="105"/>
      <c r="H33" s="105"/>
      <c r="I33" s="1007"/>
      <c r="J33" s="1007"/>
      <c r="K33" s="1007"/>
      <c r="L33" s="1007"/>
      <c r="M33" s="1007"/>
      <c r="N33" s="67"/>
    </row>
    <row r="34" spans="1:18">
      <c r="A34" s="65"/>
      <c r="B34" s="104"/>
      <c r="C34" s="133"/>
      <c r="D34" s="105"/>
      <c r="E34" s="105"/>
      <c r="F34" s="105"/>
      <c r="G34" s="105"/>
      <c r="H34" s="105"/>
      <c r="I34" s="105"/>
      <c r="J34" s="1021"/>
      <c r="K34" s="1021"/>
      <c r="L34" s="1021"/>
      <c r="M34" s="1021"/>
      <c r="N34" s="67"/>
    </row>
    <row r="35" spans="1:18">
      <c r="A35" s="65"/>
      <c r="B35" s="104"/>
      <c r="C35" s="219"/>
      <c r="D35" s="105"/>
      <c r="E35" s="105" t="s">
        <v>181</v>
      </c>
      <c r="F35" s="105"/>
      <c r="G35" s="105"/>
      <c r="H35" s="105"/>
      <c r="I35" s="1008"/>
      <c r="J35" s="1008"/>
      <c r="K35" s="1008"/>
      <c r="L35" s="1008"/>
      <c r="M35" s="1008"/>
      <c r="N35" s="67"/>
    </row>
    <row r="36" spans="1:18">
      <c r="A36" s="65"/>
      <c r="B36" s="104"/>
      <c r="C36" s="133"/>
      <c r="D36" s="105"/>
      <c r="E36" s="105"/>
      <c r="F36" s="105"/>
      <c r="G36" s="105"/>
      <c r="H36" s="105"/>
      <c r="I36" s="105"/>
      <c r="J36" s="105"/>
      <c r="K36" s="105"/>
      <c r="L36" s="105"/>
      <c r="M36" s="105"/>
      <c r="N36" s="67"/>
    </row>
    <row r="37" spans="1:18">
      <c r="A37" s="65"/>
      <c r="B37" s="104"/>
      <c r="C37" s="219"/>
      <c r="D37" s="105"/>
      <c r="E37" s="105" t="s">
        <v>182</v>
      </c>
      <c r="F37" s="105"/>
      <c r="G37" s="105"/>
      <c r="H37" s="105"/>
      <c r="I37" s="1008"/>
      <c r="J37" s="1008"/>
      <c r="K37" s="1008"/>
      <c r="L37" s="1008"/>
      <c r="M37" s="1008"/>
      <c r="N37" s="67"/>
    </row>
    <row r="38" spans="1:18">
      <c r="A38" s="65"/>
      <c r="B38" s="104"/>
      <c r="C38" s="133"/>
      <c r="D38" s="105"/>
      <c r="E38" s="105"/>
      <c r="F38" s="105"/>
      <c r="G38" s="105"/>
      <c r="H38" s="105"/>
      <c r="I38" s="105"/>
      <c r="J38" s="105"/>
      <c r="K38" s="105"/>
      <c r="L38" s="105"/>
      <c r="M38" s="105"/>
      <c r="N38" s="67"/>
    </row>
    <row r="39" spans="1:18">
      <c r="A39" s="65"/>
      <c r="B39" s="104"/>
      <c r="C39" s="219"/>
      <c r="D39" s="105"/>
      <c r="E39" s="105" t="s">
        <v>183</v>
      </c>
      <c r="F39" s="105"/>
      <c r="G39" s="105"/>
      <c r="H39" s="105"/>
      <c r="I39" s="107" t="s">
        <v>184</v>
      </c>
      <c r="J39" s="107"/>
      <c r="K39" s="257"/>
      <c r="L39" s="107" t="s">
        <v>185</v>
      </c>
      <c r="M39" s="257"/>
      <c r="N39" s="67"/>
    </row>
    <row r="40" spans="1:18">
      <c r="A40" s="65"/>
      <c r="B40" s="104"/>
      <c r="C40" s="133"/>
      <c r="D40" s="105"/>
      <c r="E40" s="105"/>
      <c r="F40" s="105"/>
      <c r="G40" s="105"/>
      <c r="H40" s="105"/>
      <c r="I40" s="105"/>
      <c r="J40" s="105"/>
      <c r="K40" s="105"/>
      <c r="L40" s="105"/>
      <c r="M40" s="105"/>
      <c r="N40" s="67"/>
    </row>
    <row r="41" spans="1:18">
      <c r="A41" s="65"/>
      <c r="B41" s="104"/>
      <c r="C41" s="219"/>
      <c r="D41" s="105"/>
      <c r="E41" s="105" t="s">
        <v>186</v>
      </c>
      <c r="F41" s="105"/>
      <c r="G41" s="105"/>
      <c r="H41" s="105"/>
      <c r="I41" s="1007"/>
      <c r="J41" s="1007"/>
      <c r="K41" s="1007"/>
      <c r="L41" s="1007"/>
      <c r="M41" s="1007"/>
      <c r="N41" s="67"/>
    </row>
    <row r="42" spans="1:18">
      <c r="A42" s="65"/>
      <c r="B42" s="104"/>
      <c r="C42" s="133"/>
      <c r="D42" s="105"/>
      <c r="E42" s="105" t="s">
        <v>187</v>
      </c>
      <c r="F42" s="105"/>
      <c r="G42" s="105"/>
      <c r="H42" s="105"/>
      <c r="I42" s="138"/>
      <c r="J42" s="138"/>
      <c r="K42" s="138"/>
      <c r="L42" s="138"/>
      <c r="M42" s="138"/>
      <c r="N42" s="67"/>
    </row>
    <row r="43" spans="1:18">
      <c r="A43" s="65"/>
      <c r="B43" s="104"/>
      <c r="C43" s="133"/>
      <c r="D43" s="105"/>
      <c r="E43" s="105"/>
      <c r="F43" s="105"/>
      <c r="G43" s="105"/>
      <c r="H43" s="105"/>
      <c r="I43" s="105"/>
      <c r="J43" s="105"/>
      <c r="K43" s="105"/>
      <c r="L43" s="105"/>
      <c r="M43" s="105"/>
      <c r="N43" s="67"/>
    </row>
    <row r="44" spans="1:18">
      <c r="A44" s="65"/>
      <c r="B44" s="104"/>
      <c r="C44" s="219" t="s">
        <v>152</v>
      </c>
      <c r="D44" s="105"/>
      <c r="E44" s="105" t="s">
        <v>333</v>
      </c>
      <c r="F44" s="105"/>
      <c r="G44" s="105"/>
      <c r="H44" s="105"/>
      <c r="I44" s="105"/>
      <c r="J44" s="105"/>
      <c r="K44" s="105"/>
      <c r="L44" s="105"/>
      <c r="M44" s="105"/>
      <c r="N44" s="67"/>
      <c r="R44" s="92" t="s">
        <v>254</v>
      </c>
    </row>
    <row r="45" spans="1:18">
      <c r="A45" s="65"/>
      <c r="B45" s="104"/>
      <c r="C45" s="133"/>
      <c r="D45" s="105"/>
      <c r="E45" s="105" t="s">
        <v>334</v>
      </c>
      <c r="F45" s="105"/>
      <c r="G45" s="105"/>
      <c r="H45" s="105"/>
      <c r="I45" s="105"/>
      <c r="J45" s="105"/>
      <c r="K45" s="105"/>
      <c r="L45" s="105"/>
      <c r="M45" s="105"/>
      <c r="N45" s="67"/>
    </row>
    <row r="46" spans="1:18">
      <c r="A46" s="65"/>
      <c r="B46" s="104"/>
      <c r="C46" s="133"/>
      <c r="D46" s="105"/>
      <c r="E46" s="105"/>
      <c r="F46" s="105"/>
      <c r="G46" s="105"/>
      <c r="H46" s="105"/>
      <c r="I46" s="105"/>
      <c r="J46" s="105"/>
      <c r="K46" s="105"/>
      <c r="L46" s="105"/>
      <c r="M46" s="105"/>
      <c r="N46" s="67"/>
    </row>
    <row r="47" spans="1:18">
      <c r="A47" s="65"/>
      <c r="B47" s="104"/>
      <c r="C47" s="219"/>
      <c r="D47" s="105"/>
      <c r="E47" s="105" t="s">
        <v>188</v>
      </c>
      <c r="F47" s="105"/>
      <c r="G47" s="105"/>
      <c r="H47" s="105"/>
      <c r="I47" s="105"/>
      <c r="J47" s="105"/>
      <c r="K47" s="105"/>
      <c r="L47" s="105"/>
      <c r="M47" s="105"/>
      <c r="N47" s="67"/>
    </row>
    <row r="48" spans="1:18">
      <c r="A48" s="65"/>
      <c r="B48" s="104"/>
      <c r="C48" s="133"/>
      <c r="D48" s="105"/>
      <c r="E48" s="105"/>
      <c r="F48" s="105"/>
      <c r="G48" s="105"/>
      <c r="H48" s="105"/>
      <c r="I48" s="105"/>
      <c r="J48" s="105"/>
      <c r="K48" s="105"/>
      <c r="L48" s="105"/>
      <c r="M48" s="105"/>
      <c r="N48" s="67"/>
    </row>
    <row r="49" spans="1:26">
      <c r="A49" s="65"/>
      <c r="B49" s="104"/>
      <c r="C49" s="219"/>
      <c r="D49" s="105"/>
      <c r="E49" s="105" t="s">
        <v>189</v>
      </c>
      <c r="F49" s="105"/>
      <c r="G49" s="105"/>
      <c r="H49" s="105"/>
      <c r="I49" s="1008"/>
      <c r="J49" s="1008"/>
      <c r="K49" s="1008"/>
      <c r="L49" s="1008"/>
      <c r="M49" s="1008"/>
      <c r="N49" s="67"/>
    </row>
    <row r="50" spans="1:26">
      <c r="A50" s="65"/>
      <c r="B50" s="104"/>
      <c r="C50" s="133"/>
      <c r="D50" s="105"/>
      <c r="E50" s="105"/>
      <c r="F50" s="105"/>
      <c r="G50" s="105"/>
      <c r="H50" s="105"/>
      <c r="I50" s="105"/>
      <c r="J50" s="105"/>
      <c r="K50" s="105"/>
      <c r="L50" s="105"/>
      <c r="M50" s="105"/>
      <c r="N50" s="67"/>
    </row>
    <row r="51" spans="1:26">
      <c r="A51" s="65"/>
      <c r="B51" s="104"/>
      <c r="C51" s="219"/>
      <c r="D51" s="105"/>
      <c r="E51" s="105" t="s">
        <v>190</v>
      </c>
      <c r="F51" s="105"/>
      <c r="G51" s="105"/>
      <c r="H51" s="105"/>
      <c r="I51" s="105"/>
      <c r="J51" s="105"/>
      <c r="K51" s="105"/>
      <c r="L51" s="105"/>
      <c r="M51" s="105"/>
      <c r="N51" s="67"/>
    </row>
    <row r="52" spans="1:26">
      <c r="A52" s="65"/>
      <c r="B52" s="104"/>
      <c r="C52" s="1009"/>
      <c r="D52" s="1009"/>
      <c r="E52" s="1009"/>
      <c r="F52" s="1009"/>
      <c r="G52" s="1009"/>
      <c r="H52" s="1009"/>
      <c r="I52" s="1009"/>
      <c r="J52" s="1009"/>
      <c r="K52" s="1009"/>
      <c r="L52" s="1009"/>
      <c r="M52" s="1009"/>
      <c r="N52" s="67"/>
      <c r="P52" s="1010" t="s">
        <v>260</v>
      </c>
      <c r="Q52" s="1010"/>
      <c r="R52" s="1010"/>
      <c r="S52" s="1010"/>
      <c r="T52" s="1010"/>
      <c r="U52" s="1010"/>
      <c r="V52" s="1010"/>
      <c r="W52" s="1010"/>
      <c r="X52" s="1010"/>
      <c r="Y52" s="1010"/>
      <c r="Z52" s="1010"/>
    </row>
    <row r="53" spans="1:26">
      <c r="A53" s="65"/>
      <c r="B53" s="104"/>
      <c r="C53" s="1009"/>
      <c r="D53" s="1009"/>
      <c r="E53" s="1009"/>
      <c r="F53" s="1009"/>
      <c r="G53" s="1009"/>
      <c r="H53" s="1009"/>
      <c r="I53" s="1009"/>
      <c r="J53" s="1009"/>
      <c r="K53" s="1009"/>
      <c r="L53" s="1009"/>
      <c r="M53" s="1009"/>
      <c r="N53" s="67"/>
      <c r="P53" s="1011" t="s">
        <v>264</v>
      </c>
      <c r="Q53" s="1011"/>
      <c r="R53" s="1011"/>
      <c r="S53" s="1011"/>
      <c r="T53" s="1011"/>
      <c r="U53" s="1011"/>
      <c r="V53" s="1011"/>
      <c r="W53" s="1011"/>
      <c r="X53" s="1011"/>
      <c r="Y53" s="1011"/>
      <c r="Z53" s="1011"/>
    </row>
    <row r="54" spans="1:26">
      <c r="A54" s="65"/>
      <c r="B54" s="104"/>
      <c r="C54" s="138"/>
      <c r="D54" s="105"/>
      <c r="E54" s="139"/>
      <c r="F54" s="105"/>
      <c r="G54" s="105"/>
      <c r="H54" s="105" t="s">
        <v>242</v>
      </c>
      <c r="I54" s="105"/>
      <c r="J54" s="105"/>
      <c r="K54" s="105"/>
      <c r="L54" s="105"/>
      <c r="M54" s="105"/>
      <c r="N54" s="67"/>
    </row>
    <row r="55" spans="1:26" ht="12.75" customHeight="1">
      <c r="A55" s="65"/>
      <c r="B55" s="104"/>
      <c r="C55" s="1001" t="s">
        <v>164</v>
      </c>
      <c r="D55" s="1001"/>
      <c r="E55" s="1001"/>
      <c r="F55" s="1001"/>
      <c r="G55" s="1001"/>
      <c r="H55" s="1001"/>
      <c r="I55" s="1001"/>
      <c r="J55" s="1001"/>
      <c r="K55" s="1001"/>
      <c r="L55" s="1001"/>
      <c r="M55" s="1001"/>
      <c r="N55" s="67"/>
    </row>
    <row r="56" spans="1:26">
      <c r="A56" s="65"/>
      <c r="B56" s="104"/>
      <c r="C56" s="1002"/>
      <c r="D56" s="1002"/>
      <c r="E56" s="1002"/>
      <c r="F56" s="1002"/>
      <c r="G56" s="1002"/>
      <c r="H56" s="1002"/>
      <c r="I56" s="1002"/>
      <c r="J56" s="1002"/>
      <c r="K56" s="1002"/>
      <c r="L56" s="1002"/>
      <c r="M56" s="1002"/>
      <c r="N56" s="67"/>
    </row>
    <row r="57" spans="1:26">
      <c r="A57" s="65"/>
      <c r="B57" s="104"/>
      <c r="C57" s="1002"/>
      <c r="D57" s="1002"/>
      <c r="E57" s="1002"/>
      <c r="F57" s="1002"/>
      <c r="G57" s="1002"/>
      <c r="H57" s="1002"/>
      <c r="I57" s="1002"/>
      <c r="J57" s="1002"/>
      <c r="K57" s="1002"/>
      <c r="L57" s="1002"/>
      <c r="M57" s="1002"/>
      <c r="N57" s="67"/>
    </row>
    <row r="58" spans="1:26">
      <c r="A58" s="65"/>
      <c r="B58" s="104"/>
      <c r="C58" s="258"/>
      <c r="D58" s="258"/>
      <c r="E58" s="258"/>
      <c r="F58" s="258"/>
      <c r="G58" s="258"/>
      <c r="H58" s="258"/>
      <c r="I58" s="258"/>
      <c r="J58" s="258"/>
      <c r="K58" s="258"/>
      <c r="L58" s="258"/>
      <c r="M58" s="258"/>
      <c r="N58" s="67"/>
    </row>
    <row r="59" spans="1:26">
      <c r="A59" s="65"/>
      <c r="B59" s="104"/>
      <c r="C59" s="258"/>
      <c r="D59" s="258"/>
      <c r="E59" s="258"/>
      <c r="F59" s="258"/>
      <c r="G59" s="258"/>
      <c r="H59" s="258"/>
      <c r="I59" s="258"/>
      <c r="J59" s="258"/>
      <c r="K59" s="258"/>
      <c r="L59" s="258"/>
      <c r="M59" s="258"/>
      <c r="N59" s="67"/>
    </row>
    <row r="60" spans="1:26">
      <c r="A60" s="65"/>
      <c r="B60" s="104"/>
      <c r="C60" s="105"/>
      <c r="D60" s="1003"/>
      <c r="E60" s="1003"/>
      <c r="F60" s="1003"/>
      <c r="G60" s="1003"/>
      <c r="H60" s="1003"/>
      <c r="I60" s="1003"/>
      <c r="J60" s="1003"/>
      <c r="K60" s="105"/>
      <c r="L60" s="1003"/>
      <c r="M60" s="1003"/>
      <c r="N60" s="67"/>
    </row>
    <row r="61" spans="1:26">
      <c r="A61" s="65"/>
      <c r="B61" s="104"/>
      <c r="C61" s="69"/>
      <c r="D61" s="1004" t="s">
        <v>165</v>
      </c>
      <c r="E61" s="1004"/>
      <c r="F61" s="1004"/>
      <c r="G61" s="1004"/>
      <c r="H61" s="1004"/>
      <c r="I61" s="1004"/>
      <c r="J61" s="1004"/>
      <c r="K61" s="69"/>
      <c r="L61" s="1004">
        <f>NOR!O33</f>
        <v>0</v>
      </c>
      <c r="M61" s="1004"/>
      <c r="N61" s="67"/>
    </row>
    <row r="62" spans="1:26">
      <c r="A62" s="65"/>
      <c r="B62" s="104"/>
      <c r="C62" s="1005" t="s">
        <v>166</v>
      </c>
      <c r="D62" s="1005"/>
      <c r="E62" s="1005"/>
      <c r="F62" s="1005"/>
      <c r="G62" s="1005"/>
      <c r="H62" s="1005"/>
      <c r="I62" s="1005"/>
      <c r="J62" s="1005"/>
      <c r="K62" s="1005"/>
      <c r="L62" s="1006" t="s">
        <v>144</v>
      </c>
      <c r="M62" s="1006"/>
      <c r="N62" s="67"/>
    </row>
    <row r="63" spans="1:26">
      <c r="A63" s="65"/>
      <c r="B63" s="104"/>
      <c r="C63" s="998"/>
      <c r="D63" s="998"/>
      <c r="E63" s="998"/>
      <c r="F63" s="998"/>
      <c r="G63" s="998"/>
      <c r="H63" s="998"/>
      <c r="I63" s="998"/>
      <c r="J63" s="998"/>
      <c r="K63" s="998"/>
      <c r="L63" s="69"/>
      <c r="M63" s="999"/>
      <c r="N63" s="1000"/>
    </row>
    <row r="64" spans="1:26" ht="13.5" thickBot="1">
      <c r="A64" s="65"/>
      <c r="B64" s="70"/>
      <c r="C64" s="71"/>
      <c r="D64" s="71"/>
      <c r="E64" s="71"/>
      <c r="F64" s="71"/>
      <c r="G64" s="71"/>
      <c r="H64" s="71"/>
      <c r="I64" s="71"/>
      <c r="J64" s="71"/>
      <c r="K64" s="71"/>
      <c r="L64" s="71"/>
      <c r="M64" s="71"/>
      <c r="N64" s="72"/>
    </row>
  </sheetData>
  <mergeCells count="44">
    <mergeCell ref="E7:G7"/>
    <mergeCell ref="J7:M7"/>
    <mergeCell ref="F2:K3"/>
    <mergeCell ref="E5:G5"/>
    <mergeCell ref="J5:M5"/>
    <mergeCell ref="E6:G6"/>
    <mergeCell ref="J6:M6"/>
    <mergeCell ref="C18:I18"/>
    <mergeCell ref="J18:J19"/>
    <mergeCell ref="K18:M18"/>
    <mergeCell ref="C19:D19"/>
    <mergeCell ref="E19:F19"/>
    <mergeCell ref="E8:G8"/>
    <mergeCell ref="J8:M8"/>
    <mergeCell ref="F9:G9"/>
    <mergeCell ref="J9:M9"/>
    <mergeCell ref="F10:I10"/>
    <mergeCell ref="I37:M37"/>
    <mergeCell ref="G19:H19"/>
    <mergeCell ref="C20:D20"/>
    <mergeCell ref="E20:F20"/>
    <mergeCell ref="G20:H20"/>
    <mergeCell ref="E28:M28"/>
    <mergeCell ref="J29:M29"/>
    <mergeCell ref="I30:M30"/>
    <mergeCell ref="J32:M32"/>
    <mergeCell ref="I33:M33"/>
    <mergeCell ref="J34:M34"/>
    <mergeCell ref="I35:M35"/>
    <mergeCell ref="I41:M41"/>
    <mergeCell ref="I49:M49"/>
    <mergeCell ref="C52:M52"/>
    <mergeCell ref="P52:Z52"/>
    <mergeCell ref="C53:M53"/>
    <mergeCell ref="P53:Z53"/>
    <mergeCell ref="C63:K63"/>
    <mergeCell ref="M63:N63"/>
    <mergeCell ref="C55:M57"/>
    <mergeCell ref="D60:J60"/>
    <mergeCell ref="L60:M60"/>
    <mergeCell ref="D61:J61"/>
    <mergeCell ref="L61:M61"/>
    <mergeCell ref="C62:K62"/>
    <mergeCell ref="L62:M62"/>
  </mergeCells>
  <pageMargins left="0.25" right="0.25" top="0.75" bottom="0.75" header="0.3" footer="0.3"/>
  <pageSetup paperSize="9" scale="7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tabColor rgb="FF00B050"/>
    <pageSetUpPr fitToPage="1"/>
  </sheetPr>
  <dimension ref="A1:Z64"/>
  <sheetViews>
    <sheetView workbookViewId="0"/>
  </sheetViews>
  <sheetFormatPr baseColWidth="10" defaultColWidth="9" defaultRowHeight="12.75"/>
  <cols>
    <col min="1" max="1" width="1.28515625" style="92" customWidth="1"/>
    <col min="2" max="2" width="2.5703125" style="92" customWidth="1"/>
    <col min="3" max="3" width="6.28515625" style="92" customWidth="1"/>
    <col min="4" max="4" width="3.7109375" style="92" customWidth="1"/>
    <col min="5" max="5" width="9" style="92"/>
    <col min="6" max="6" width="7.5703125" style="92" customWidth="1"/>
    <col min="7" max="7" width="9" style="92"/>
    <col min="8" max="8" width="12" style="92" customWidth="1"/>
    <col min="9" max="9" width="11.28515625" style="92" customWidth="1"/>
    <col min="10" max="10" width="10" style="92" customWidth="1"/>
    <col min="11" max="11" width="18.85546875" style="92" customWidth="1"/>
    <col min="12" max="12" width="18.28515625" style="92" customWidth="1"/>
    <col min="13" max="13" width="11.85546875" style="92" customWidth="1"/>
    <col min="14" max="14" width="2.85546875" style="92" customWidth="1"/>
    <col min="15" max="16384" width="9" style="92"/>
  </cols>
  <sheetData>
    <row r="1" spans="1:14" ht="13.5" thickBot="1">
      <c r="A1" s="65"/>
      <c r="B1" s="65"/>
      <c r="C1" s="65"/>
      <c r="D1" s="65"/>
      <c r="E1" s="65"/>
      <c r="F1" s="65"/>
      <c r="G1" s="65"/>
      <c r="H1" s="65"/>
      <c r="I1" s="65"/>
      <c r="J1" s="65"/>
      <c r="K1" s="65"/>
      <c r="L1" s="65"/>
      <c r="M1" s="65"/>
      <c r="N1" s="65"/>
    </row>
    <row r="2" spans="1:14" ht="21">
      <c r="A2" s="65"/>
      <c r="B2" s="127"/>
      <c r="C2" s="128"/>
      <c r="D2" s="128"/>
      <c r="E2" s="99"/>
      <c r="F2" s="852" t="s">
        <v>167</v>
      </c>
      <c r="G2" s="852"/>
      <c r="H2" s="852"/>
      <c r="I2" s="852"/>
      <c r="J2" s="852"/>
      <c r="K2" s="852"/>
      <c r="L2" s="110" t="s">
        <v>168</v>
      </c>
      <c r="M2" s="254" t="s">
        <v>2</v>
      </c>
      <c r="N2" s="129"/>
    </row>
    <row r="3" spans="1:14" ht="18.75" customHeight="1" thickBot="1">
      <c r="A3" s="65"/>
      <c r="B3" s="100"/>
      <c r="C3" s="101"/>
      <c r="D3" s="101"/>
      <c r="E3" s="101"/>
      <c r="F3" s="854"/>
      <c r="G3" s="854"/>
      <c r="H3" s="854"/>
      <c r="I3" s="854"/>
      <c r="J3" s="854"/>
      <c r="K3" s="854"/>
      <c r="L3" s="111" t="s">
        <v>3</v>
      </c>
      <c r="M3" s="255">
        <v>42917</v>
      </c>
      <c r="N3" s="130"/>
    </row>
    <row r="4" spans="1:14">
      <c r="A4" s="65"/>
      <c r="B4" s="104"/>
      <c r="C4" s="69"/>
      <c r="D4" s="69"/>
      <c r="E4" s="69"/>
      <c r="F4" s="131"/>
      <c r="G4" s="131"/>
      <c r="H4" s="131"/>
      <c r="I4" s="131"/>
      <c r="J4" s="131"/>
      <c r="K4" s="131"/>
      <c r="L4" s="113"/>
      <c r="M4" s="132"/>
      <c r="N4" s="67"/>
    </row>
    <row r="5" spans="1:14" ht="15.75">
      <c r="A5" s="65"/>
      <c r="B5" s="102"/>
      <c r="C5" s="23" t="s">
        <v>147</v>
      </c>
      <c r="D5" s="23"/>
      <c r="E5" s="1031" t="s">
        <v>6</v>
      </c>
      <c r="F5" s="1031"/>
      <c r="G5" s="1031"/>
      <c r="H5" s="23"/>
      <c r="I5" s="206" t="s">
        <v>4</v>
      </c>
      <c r="J5" s="1031" t="s">
        <v>95</v>
      </c>
      <c r="K5" s="1031"/>
      <c r="L5" s="1031"/>
      <c r="M5" s="1031"/>
      <c r="N5" s="67"/>
    </row>
    <row r="6" spans="1:14" ht="15.75">
      <c r="A6" s="65"/>
      <c r="B6" s="102"/>
      <c r="C6" s="23" t="s">
        <v>90</v>
      </c>
      <c r="D6" s="23"/>
      <c r="E6" s="1032">
        <f>'Data Entry'!B19</f>
        <v>0</v>
      </c>
      <c r="F6" s="1032"/>
      <c r="G6" s="1032"/>
      <c r="H6" s="23"/>
      <c r="I6" s="23"/>
      <c r="J6" s="630" t="str">
        <f>NOR!B6</f>
        <v/>
      </c>
      <c r="K6" s="630"/>
      <c r="L6" s="630"/>
      <c r="M6" s="630"/>
      <c r="N6" s="67"/>
    </row>
    <row r="7" spans="1:14" ht="15.75">
      <c r="A7" s="65"/>
      <c r="B7" s="102"/>
      <c r="C7" s="23" t="s">
        <v>25</v>
      </c>
      <c r="D7" s="23"/>
      <c r="E7" s="1030">
        <f ca="1">TODAY()</f>
        <v>46025</v>
      </c>
      <c r="F7" s="1030"/>
      <c r="G7" s="1030"/>
      <c r="H7" s="23"/>
      <c r="I7" s="23"/>
      <c r="J7" s="1031">
        <f>NOR!B4</f>
        <v>0</v>
      </c>
      <c r="K7" s="1031"/>
      <c r="L7" s="1031"/>
      <c r="M7" s="1031"/>
      <c r="N7" s="67"/>
    </row>
    <row r="8" spans="1:14" ht="15.75">
      <c r="A8" s="65"/>
      <c r="B8" s="102"/>
      <c r="C8" s="23" t="s">
        <v>98</v>
      </c>
      <c r="D8" s="23"/>
      <c r="E8" s="630">
        <f>'Data Entry'!B11</f>
        <v>0</v>
      </c>
      <c r="F8" s="630"/>
      <c r="G8" s="630"/>
      <c r="H8" s="23"/>
      <c r="I8" s="23"/>
      <c r="J8" s="1022"/>
      <c r="K8" s="1022"/>
      <c r="L8" s="1022"/>
      <c r="M8" s="1022"/>
      <c r="N8" s="67"/>
    </row>
    <row r="9" spans="1:14" ht="15.75">
      <c r="A9" s="65"/>
      <c r="B9" s="102"/>
      <c r="C9" s="23" t="s">
        <v>148</v>
      </c>
      <c r="D9" s="23"/>
      <c r="E9" s="115"/>
      <c r="F9" s="1033" t="str">
        <f>NOR!P7</f>
        <v/>
      </c>
      <c r="G9" s="1033"/>
      <c r="H9" s="23"/>
      <c r="I9" s="23"/>
      <c r="J9" s="1024"/>
      <c r="K9" s="1024"/>
      <c r="L9" s="1024"/>
      <c r="M9" s="1024"/>
      <c r="N9" s="67"/>
    </row>
    <row r="10" spans="1:14" ht="15.75">
      <c r="A10" s="65"/>
      <c r="B10" s="102"/>
      <c r="C10" s="23" t="s">
        <v>140</v>
      </c>
      <c r="D10" s="23"/>
      <c r="E10" s="115"/>
      <c r="F10" s="1025" t="s">
        <v>351</v>
      </c>
      <c r="G10" s="1025"/>
      <c r="H10" s="1025"/>
      <c r="I10" s="1025"/>
      <c r="J10" s="206"/>
      <c r="K10" s="206"/>
      <c r="L10" s="206"/>
      <c r="M10" s="206"/>
      <c r="N10" s="67"/>
    </row>
    <row r="11" spans="1:14" ht="15.75">
      <c r="A11" s="65"/>
      <c r="B11" s="104"/>
      <c r="C11" s="103"/>
      <c r="D11" s="103"/>
      <c r="E11" s="103"/>
      <c r="F11" s="103"/>
      <c r="G11" s="103"/>
      <c r="H11" s="103"/>
      <c r="I11" s="103"/>
      <c r="J11" s="103"/>
      <c r="K11" s="103"/>
      <c r="L11" s="103"/>
      <c r="M11" s="105"/>
      <c r="N11" s="67"/>
    </row>
    <row r="12" spans="1:14" ht="15.75">
      <c r="A12" s="65"/>
      <c r="B12" s="104"/>
      <c r="C12" s="106" t="s">
        <v>169</v>
      </c>
      <c r="D12" s="103"/>
      <c r="E12" s="103"/>
      <c r="F12" s="103"/>
      <c r="G12" s="103"/>
      <c r="H12" s="103"/>
      <c r="I12" s="103"/>
      <c r="J12" s="103"/>
      <c r="K12" s="103"/>
      <c r="L12" s="103"/>
      <c r="M12" s="105"/>
      <c r="N12" s="67"/>
    </row>
    <row r="13" spans="1:14" ht="15.75">
      <c r="A13" s="65"/>
      <c r="B13" s="104"/>
      <c r="C13" s="106" t="s">
        <v>170</v>
      </c>
      <c r="D13" s="103"/>
      <c r="E13" s="103"/>
      <c r="F13" s="103"/>
      <c r="G13" s="103"/>
      <c r="H13" s="103"/>
      <c r="I13" s="103"/>
      <c r="J13" s="103"/>
      <c r="K13" s="103"/>
      <c r="L13" s="105"/>
      <c r="M13" s="105"/>
      <c r="N13" s="67"/>
    </row>
    <row r="14" spans="1:14">
      <c r="A14" s="65"/>
      <c r="B14" s="104"/>
      <c r="C14" s="133"/>
      <c r="D14" s="105"/>
      <c r="E14" s="105"/>
      <c r="F14" s="105"/>
      <c r="G14" s="105"/>
      <c r="H14" s="105"/>
      <c r="I14" s="105"/>
      <c r="J14" s="105"/>
      <c r="K14" s="105"/>
      <c r="L14" s="105"/>
      <c r="M14" s="105"/>
      <c r="N14" s="67"/>
    </row>
    <row r="15" spans="1:14">
      <c r="A15" s="65"/>
      <c r="B15" s="104"/>
      <c r="C15" s="219" t="s">
        <v>152</v>
      </c>
      <c r="D15" s="105"/>
      <c r="E15" s="105" t="s">
        <v>272</v>
      </c>
      <c r="F15" s="105"/>
      <c r="G15" s="105"/>
      <c r="H15" s="105"/>
      <c r="I15" s="105"/>
      <c r="J15" s="105"/>
      <c r="K15" s="105"/>
      <c r="L15" s="134"/>
      <c r="M15" s="105"/>
      <c r="N15" s="67"/>
    </row>
    <row r="16" spans="1:14">
      <c r="A16" s="65"/>
      <c r="B16" s="104"/>
      <c r="C16" s="133"/>
      <c r="D16" s="105"/>
      <c r="E16" s="105" t="s">
        <v>278</v>
      </c>
      <c r="F16" s="105"/>
      <c r="G16" s="105"/>
      <c r="H16" s="105"/>
      <c r="I16" s="105"/>
      <c r="J16" s="105"/>
      <c r="K16" s="105"/>
      <c r="L16" s="135"/>
      <c r="M16" s="136"/>
      <c r="N16" s="67"/>
    </row>
    <row r="17" spans="1:14">
      <c r="A17" s="65"/>
      <c r="B17" s="104"/>
      <c r="C17" s="133"/>
      <c r="D17" s="105"/>
      <c r="E17" s="105"/>
      <c r="F17" s="105"/>
      <c r="G17" s="105"/>
      <c r="H17" s="105"/>
      <c r="I17" s="105"/>
      <c r="J17" s="105"/>
      <c r="K17" s="105"/>
      <c r="L17" s="135"/>
      <c r="M17" s="136"/>
      <c r="N17" s="67"/>
    </row>
    <row r="18" spans="1:14">
      <c r="A18" s="65"/>
      <c r="B18" s="104"/>
      <c r="C18" s="1026" t="s">
        <v>279</v>
      </c>
      <c r="D18" s="1027"/>
      <c r="E18" s="1027"/>
      <c r="F18" s="1027"/>
      <c r="G18" s="1027"/>
      <c r="H18" s="1027"/>
      <c r="I18" s="1028"/>
      <c r="J18" s="1029"/>
      <c r="K18" s="1026" t="s">
        <v>280</v>
      </c>
      <c r="L18" s="1027"/>
      <c r="M18" s="1028"/>
      <c r="N18" s="67"/>
    </row>
    <row r="19" spans="1:14">
      <c r="A19" s="65"/>
      <c r="B19" s="104"/>
      <c r="C19" s="1012" t="s">
        <v>226</v>
      </c>
      <c r="D19" s="1013"/>
      <c r="E19" s="1012" t="s">
        <v>171</v>
      </c>
      <c r="F19" s="1013"/>
      <c r="G19" s="1012" t="s">
        <v>172</v>
      </c>
      <c r="H19" s="1013"/>
      <c r="I19" s="87" t="s">
        <v>173</v>
      </c>
      <c r="J19" s="1029"/>
      <c r="K19" s="259" t="s">
        <v>171</v>
      </c>
      <c r="L19" s="87" t="s">
        <v>172</v>
      </c>
      <c r="M19" s="87" t="s">
        <v>174</v>
      </c>
      <c r="N19" s="67"/>
    </row>
    <row r="20" spans="1:14" ht="25.15" customHeight="1">
      <c r="A20" s="65"/>
      <c r="B20" s="104"/>
      <c r="C20" s="1014" t="str">
        <f>F10</f>
        <v>GASOLINE 98</v>
      </c>
      <c r="D20" s="1015"/>
      <c r="E20" s="1016">
        <v>1269.7829999999999</v>
      </c>
      <c r="F20" s="1017"/>
      <c r="G20" s="1018">
        <v>1266.751</v>
      </c>
      <c r="H20" s="1019"/>
      <c r="I20" s="228">
        <f>(G20-E20)/E20*100</f>
        <v>-0.23878095706116129</v>
      </c>
      <c r="J20" s="267" t="str">
        <f>F10</f>
        <v>GASOLINE 98</v>
      </c>
      <c r="K20" s="260">
        <f>IF(E20="","",E20)</f>
        <v>1269.7829999999999</v>
      </c>
      <c r="L20" s="218">
        <v>1264.9770000000001</v>
      </c>
      <c r="M20" s="268">
        <f>(L20-K20)/L20*100</f>
        <v>-0.37992785639579318</v>
      </c>
      <c r="N20" s="67"/>
    </row>
    <row r="21" spans="1:14">
      <c r="A21" s="65"/>
      <c r="B21" s="104"/>
      <c r="C21" s="133"/>
      <c r="D21" s="105"/>
      <c r="E21" s="105"/>
      <c r="F21" s="105"/>
      <c r="G21" s="105"/>
      <c r="H21" s="105"/>
      <c r="I21" s="105"/>
      <c r="J21" s="105"/>
      <c r="K21" s="105"/>
      <c r="L21" s="105"/>
      <c r="M21" s="105"/>
      <c r="N21" s="67"/>
    </row>
    <row r="22" spans="1:14" ht="15">
      <c r="A22" s="65"/>
      <c r="B22" s="104"/>
      <c r="C22" s="219" t="s">
        <v>152</v>
      </c>
      <c r="D22" s="105"/>
      <c r="E22" s="105" t="s">
        <v>239</v>
      </c>
      <c r="F22" s="105"/>
      <c r="G22" s="105"/>
      <c r="H22" s="105"/>
      <c r="J22" s="257" t="s">
        <v>354</v>
      </c>
      <c r="K22" s="107"/>
      <c r="L22" s="232" t="s">
        <v>353</v>
      </c>
      <c r="M22" s="107"/>
      <c r="N22" s="67"/>
    </row>
    <row r="23" spans="1:14">
      <c r="A23" s="65"/>
      <c r="B23" s="104"/>
      <c r="C23" s="133"/>
      <c r="D23" s="105"/>
      <c r="E23" s="105"/>
      <c r="F23" s="105"/>
      <c r="G23" s="105"/>
      <c r="H23" s="105"/>
      <c r="I23" s="105"/>
      <c r="J23" s="256"/>
      <c r="K23" s="105"/>
      <c r="L23" s="105"/>
      <c r="M23" s="105"/>
      <c r="N23" s="67"/>
    </row>
    <row r="24" spans="1:14">
      <c r="A24" s="65"/>
      <c r="B24" s="104"/>
      <c r="C24" s="219"/>
      <c r="D24" s="105"/>
      <c r="E24" s="105" t="s">
        <v>177</v>
      </c>
      <c r="F24" s="105"/>
      <c r="G24" s="105"/>
      <c r="H24" s="105"/>
      <c r="J24" s="257" t="s">
        <v>175</v>
      </c>
      <c r="K24" s="107"/>
      <c r="L24" s="232" t="s">
        <v>176</v>
      </c>
      <c r="M24" s="107"/>
      <c r="N24" s="67"/>
    </row>
    <row r="25" spans="1:14">
      <c r="A25" s="65"/>
      <c r="B25" s="104"/>
      <c r="C25" s="133"/>
      <c r="D25" s="105"/>
      <c r="E25" s="105"/>
      <c r="F25" s="105"/>
      <c r="G25" s="105"/>
      <c r="H25" s="105"/>
      <c r="I25" s="105"/>
      <c r="J25" s="105"/>
      <c r="K25" s="105"/>
      <c r="L25" s="105"/>
      <c r="M25" s="105"/>
      <c r="N25" s="67"/>
    </row>
    <row r="26" spans="1:14" ht="15">
      <c r="A26" s="65"/>
      <c r="B26" s="104"/>
      <c r="C26" s="105"/>
      <c r="D26" s="105"/>
      <c r="E26" s="105"/>
      <c r="F26" s="105"/>
      <c r="G26" s="105"/>
      <c r="H26" s="105"/>
      <c r="I26" s="106" t="s">
        <v>150</v>
      </c>
      <c r="J26" s="105"/>
      <c r="K26" s="105"/>
      <c r="L26" s="105"/>
      <c r="M26" s="105"/>
      <c r="N26" s="67"/>
    </row>
    <row r="27" spans="1:14">
      <c r="A27" s="65"/>
      <c r="B27" s="104"/>
      <c r="C27" s="133"/>
      <c r="D27" s="105"/>
      <c r="E27" s="137"/>
      <c r="F27" s="105"/>
      <c r="G27" s="105"/>
      <c r="H27" s="105"/>
      <c r="I27" s="105"/>
      <c r="J27" s="105"/>
      <c r="K27" s="105"/>
      <c r="L27" s="105"/>
      <c r="M27" s="105"/>
      <c r="N27" s="67"/>
    </row>
    <row r="28" spans="1:14" ht="12.75" customHeight="1">
      <c r="A28" s="65"/>
      <c r="B28" s="104"/>
      <c r="C28" s="219"/>
      <c r="D28" s="105"/>
      <c r="E28" s="1020" t="s">
        <v>349</v>
      </c>
      <c r="F28" s="1020"/>
      <c r="G28" s="1020"/>
      <c r="H28" s="1020"/>
      <c r="I28" s="1020"/>
      <c r="J28" s="1020"/>
      <c r="K28" s="1020"/>
      <c r="L28" s="1020"/>
      <c r="M28" s="1020"/>
      <c r="N28" s="67"/>
    </row>
    <row r="29" spans="1:14">
      <c r="A29" s="65"/>
      <c r="B29" s="104"/>
      <c r="C29" s="133"/>
      <c r="D29" s="105"/>
      <c r="E29" s="105"/>
      <c r="F29" s="105"/>
      <c r="G29" s="105"/>
      <c r="H29" s="105"/>
      <c r="I29" s="105"/>
      <c r="J29" s="1021"/>
      <c r="K29" s="1021"/>
      <c r="L29" s="1021"/>
      <c r="M29" s="1021"/>
      <c r="N29" s="67"/>
    </row>
    <row r="30" spans="1:14">
      <c r="A30" s="65"/>
      <c r="B30" s="104"/>
      <c r="C30" s="219"/>
      <c r="D30" s="105"/>
      <c r="E30" s="105" t="s">
        <v>178</v>
      </c>
      <c r="F30" s="105"/>
      <c r="G30" s="105"/>
      <c r="H30" s="105"/>
      <c r="I30" s="1007"/>
      <c r="J30" s="1007"/>
      <c r="K30" s="1007"/>
      <c r="L30" s="1007"/>
      <c r="M30" s="1007"/>
      <c r="N30" s="67"/>
    </row>
    <row r="31" spans="1:14">
      <c r="A31" s="65"/>
      <c r="B31" s="104"/>
      <c r="C31" s="133"/>
      <c r="D31" s="105"/>
      <c r="E31" s="105" t="s">
        <v>179</v>
      </c>
      <c r="F31" s="105"/>
      <c r="G31" s="105"/>
      <c r="H31" s="105"/>
      <c r="I31" s="138"/>
      <c r="J31" s="138"/>
      <c r="K31" s="138"/>
      <c r="L31" s="138"/>
      <c r="M31" s="138"/>
      <c r="N31" s="67"/>
    </row>
    <row r="32" spans="1:14">
      <c r="A32" s="65"/>
      <c r="B32" s="104"/>
      <c r="C32" s="133"/>
      <c r="D32" s="105"/>
      <c r="E32" s="105"/>
      <c r="F32" s="105"/>
      <c r="G32" s="105"/>
      <c r="H32" s="105"/>
      <c r="I32" s="105"/>
      <c r="J32" s="1021"/>
      <c r="K32" s="1021"/>
      <c r="L32" s="1021"/>
      <c r="M32" s="1021"/>
      <c r="N32" s="67"/>
    </row>
    <row r="33" spans="1:18">
      <c r="A33" s="65"/>
      <c r="B33" s="104"/>
      <c r="C33" s="219"/>
      <c r="D33" s="105"/>
      <c r="E33" s="105" t="s">
        <v>180</v>
      </c>
      <c r="F33" s="105"/>
      <c r="G33" s="105"/>
      <c r="H33" s="105"/>
      <c r="I33" s="1007"/>
      <c r="J33" s="1007"/>
      <c r="K33" s="1007"/>
      <c r="L33" s="1007"/>
      <c r="M33" s="1007"/>
      <c r="N33" s="67"/>
    </row>
    <row r="34" spans="1:18">
      <c r="A34" s="65"/>
      <c r="B34" s="104"/>
      <c r="C34" s="133"/>
      <c r="D34" s="105"/>
      <c r="E34" s="105"/>
      <c r="F34" s="105"/>
      <c r="G34" s="105"/>
      <c r="H34" s="105"/>
      <c r="I34" s="105"/>
      <c r="J34" s="1021"/>
      <c r="K34" s="1021"/>
      <c r="L34" s="1021"/>
      <c r="M34" s="1021"/>
      <c r="N34" s="67"/>
    </row>
    <row r="35" spans="1:18">
      <c r="A35" s="65"/>
      <c r="B35" s="104"/>
      <c r="C35" s="219"/>
      <c r="D35" s="105"/>
      <c r="E35" s="105" t="s">
        <v>181</v>
      </c>
      <c r="F35" s="105"/>
      <c r="G35" s="105"/>
      <c r="H35" s="105"/>
      <c r="I35" s="1008"/>
      <c r="J35" s="1008"/>
      <c r="K35" s="1008"/>
      <c r="L35" s="1008"/>
      <c r="M35" s="1008"/>
      <c r="N35" s="67"/>
    </row>
    <row r="36" spans="1:18">
      <c r="A36" s="65"/>
      <c r="B36" s="104"/>
      <c r="C36" s="133"/>
      <c r="D36" s="105"/>
      <c r="E36" s="105"/>
      <c r="F36" s="105"/>
      <c r="G36" s="105"/>
      <c r="H36" s="105"/>
      <c r="I36" s="105"/>
      <c r="J36" s="105"/>
      <c r="K36" s="105"/>
      <c r="L36" s="105"/>
      <c r="M36" s="105"/>
      <c r="N36" s="67"/>
    </row>
    <row r="37" spans="1:18">
      <c r="A37" s="65"/>
      <c r="B37" s="104"/>
      <c r="C37" s="219"/>
      <c r="D37" s="105"/>
      <c r="E37" s="105" t="s">
        <v>182</v>
      </c>
      <c r="F37" s="105"/>
      <c r="G37" s="105"/>
      <c r="H37" s="105"/>
      <c r="I37" s="1008"/>
      <c r="J37" s="1008"/>
      <c r="K37" s="1008"/>
      <c r="L37" s="1008"/>
      <c r="M37" s="1008"/>
      <c r="N37" s="67"/>
    </row>
    <row r="38" spans="1:18">
      <c r="A38" s="65"/>
      <c r="B38" s="104"/>
      <c r="C38" s="133"/>
      <c r="D38" s="105"/>
      <c r="E38" s="105"/>
      <c r="F38" s="105"/>
      <c r="G38" s="105"/>
      <c r="H38" s="105"/>
      <c r="I38" s="105"/>
      <c r="J38" s="105"/>
      <c r="K38" s="105"/>
      <c r="L38" s="105"/>
      <c r="M38" s="105"/>
      <c r="N38" s="67"/>
    </row>
    <row r="39" spans="1:18">
      <c r="A39" s="65"/>
      <c r="B39" s="104"/>
      <c r="C39" s="219"/>
      <c r="D39" s="105"/>
      <c r="E39" s="105" t="s">
        <v>183</v>
      </c>
      <c r="F39" s="105"/>
      <c r="G39" s="105"/>
      <c r="H39" s="105"/>
      <c r="I39" s="107" t="s">
        <v>184</v>
      </c>
      <c r="J39" s="107"/>
      <c r="K39" s="257"/>
      <c r="L39" s="107" t="s">
        <v>185</v>
      </c>
      <c r="M39" s="257"/>
      <c r="N39" s="67"/>
    </row>
    <row r="40" spans="1:18">
      <c r="A40" s="65"/>
      <c r="B40" s="104"/>
      <c r="C40" s="133"/>
      <c r="D40" s="105"/>
      <c r="E40" s="105"/>
      <c r="F40" s="105"/>
      <c r="G40" s="105"/>
      <c r="H40" s="105"/>
      <c r="I40" s="105"/>
      <c r="J40" s="105"/>
      <c r="K40" s="105"/>
      <c r="L40" s="105"/>
      <c r="M40" s="105"/>
      <c r="N40" s="67"/>
    </row>
    <row r="41" spans="1:18">
      <c r="A41" s="65"/>
      <c r="B41" s="104"/>
      <c r="C41" s="219"/>
      <c r="D41" s="105"/>
      <c r="E41" s="105" t="s">
        <v>186</v>
      </c>
      <c r="F41" s="105"/>
      <c r="G41" s="105"/>
      <c r="H41" s="105"/>
      <c r="I41" s="1007"/>
      <c r="J41" s="1007"/>
      <c r="K41" s="1007"/>
      <c r="L41" s="1007"/>
      <c r="M41" s="1007"/>
      <c r="N41" s="67"/>
    </row>
    <row r="42" spans="1:18">
      <c r="A42" s="65"/>
      <c r="B42" s="104"/>
      <c r="C42" s="133"/>
      <c r="D42" s="105"/>
      <c r="E42" s="105" t="s">
        <v>187</v>
      </c>
      <c r="F42" s="105"/>
      <c r="G42" s="105"/>
      <c r="H42" s="105"/>
      <c r="I42" s="138"/>
      <c r="J42" s="138"/>
      <c r="K42" s="138"/>
      <c r="L42" s="138"/>
      <c r="M42" s="138"/>
      <c r="N42" s="67"/>
    </row>
    <row r="43" spans="1:18">
      <c r="A43" s="65"/>
      <c r="B43" s="104"/>
      <c r="C43" s="133"/>
      <c r="D43" s="105"/>
      <c r="E43" s="105"/>
      <c r="F43" s="105"/>
      <c r="G43" s="105"/>
      <c r="H43" s="105"/>
      <c r="I43" s="105"/>
      <c r="J43" s="105"/>
      <c r="K43" s="105"/>
      <c r="L43" s="105"/>
      <c r="M43" s="105"/>
      <c r="N43" s="67"/>
    </row>
    <row r="44" spans="1:18">
      <c r="A44" s="65"/>
      <c r="B44" s="104"/>
      <c r="C44" s="219" t="s">
        <v>152</v>
      </c>
      <c r="D44" s="105"/>
      <c r="E44" s="105" t="s">
        <v>335</v>
      </c>
      <c r="F44" s="105"/>
      <c r="G44" s="105"/>
      <c r="H44" s="105"/>
      <c r="I44" s="105"/>
      <c r="J44" s="105"/>
      <c r="K44" s="105"/>
      <c r="L44" s="105"/>
      <c r="M44" s="105"/>
      <c r="N44" s="67"/>
      <c r="R44" s="92" t="s">
        <v>254</v>
      </c>
    </row>
    <row r="45" spans="1:18">
      <c r="A45" s="65"/>
      <c r="B45" s="104"/>
      <c r="C45" s="133"/>
      <c r="D45" s="105"/>
      <c r="E45" s="105" t="s">
        <v>336</v>
      </c>
      <c r="F45" s="105"/>
      <c r="G45" s="105"/>
      <c r="H45" s="105"/>
      <c r="I45" s="105"/>
      <c r="J45" s="105"/>
      <c r="K45" s="105"/>
      <c r="L45" s="105"/>
      <c r="M45" s="105"/>
      <c r="N45" s="67"/>
    </row>
    <row r="46" spans="1:18">
      <c r="A46" s="65"/>
      <c r="B46" s="104"/>
      <c r="C46" s="133"/>
      <c r="D46" s="105"/>
      <c r="E46" s="105"/>
      <c r="F46" s="105"/>
      <c r="G46" s="105"/>
      <c r="H46" s="105"/>
      <c r="I46" s="105"/>
      <c r="J46" s="105"/>
      <c r="K46" s="105"/>
      <c r="L46" s="105"/>
      <c r="M46" s="105"/>
      <c r="N46" s="67"/>
    </row>
    <row r="47" spans="1:18">
      <c r="A47" s="65"/>
      <c r="B47" s="104"/>
      <c r="C47" s="219"/>
      <c r="D47" s="105"/>
      <c r="E47" s="105" t="s">
        <v>188</v>
      </c>
      <c r="F47" s="105"/>
      <c r="G47" s="105"/>
      <c r="H47" s="105"/>
      <c r="I47" s="105"/>
      <c r="J47" s="105"/>
      <c r="K47" s="105"/>
      <c r="L47" s="105"/>
      <c r="M47" s="105"/>
      <c r="N47" s="67"/>
    </row>
    <row r="48" spans="1:18">
      <c r="A48" s="65"/>
      <c r="B48" s="104"/>
      <c r="C48" s="133"/>
      <c r="D48" s="105"/>
      <c r="E48" s="105"/>
      <c r="F48" s="105"/>
      <c r="G48" s="105"/>
      <c r="H48" s="105"/>
      <c r="I48" s="105"/>
      <c r="J48" s="105"/>
      <c r="K48" s="105"/>
      <c r="L48" s="105"/>
      <c r="M48" s="105"/>
      <c r="N48" s="67"/>
    </row>
    <row r="49" spans="1:26">
      <c r="A49" s="65"/>
      <c r="B49" s="104"/>
      <c r="C49" s="219"/>
      <c r="D49" s="105"/>
      <c r="E49" s="105" t="s">
        <v>189</v>
      </c>
      <c r="F49" s="105"/>
      <c r="G49" s="105"/>
      <c r="H49" s="105"/>
      <c r="I49" s="1008"/>
      <c r="J49" s="1008"/>
      <c r="K49" s="1008"/>
      <c r="L49" s="1008"/>
      <c r="M49" s="1008"/>
      <c r="N49" s="67"/>
    </row>
    <row r="50" spans="1:26">
      <c r="A50" s="65"/>
      <c r="B50" s="104"/>
      <c r="C50" s="133"/>
      <c r="D50" s="105"/>
      <c r="E50" s="105"/>
      <c r="F50" s="105"/>
      <c r="G50" s="105"/>
      <c r="H50" s="105"/>
      <c r="I50" s="105"/>
      <c r="J50" s="105"/>
      <c r="K50" s="105"/>
      <c r="L50" s="105"/>
      <c r="M50" s="105"/>
      <c r="N50" s="67"/>
    </row>
    <row r="51" spans="1:26">
      <c r="A51" s="65"/>
      <c r="B51" s="104"/>
      <c r="C51" s="219"/>
      <c r="D51" s="105"/>
      <c r="E51" s="105" t="s">
        <v>190</v>
      </c>
      <c r="F51" s="105"/>
      <c r="G51" s="105"/>
      <c r="H51" s="105"/>
      <c r="I51" s="105"/>
      <c r="J51" s="105"/>
      <c r="K51" s="105"/>
      <c r="L51" s="105"/>
      <c r="M51" s="105"/>
      <c r="N51" s="67"/>
    </row>
    <row r="52" spans="1:26">
      <c r="A52" s="65"/>
      <c r="B52" s="104"/>
      <c r="C52" s="1009"/>
      <c r="D52" s="1009"/>
      <c r="E52" s="1009"/>
      <c r="F52" s="1009"/>
      <c r="G52" s="1009"/>
      <c r="H52" s="1009"/>
      <c r="I52" s="1009"/>
      <c r="J52" s="1009"/>
      <c r="K52" s="1009"/>
      <c r="L52" s="1009"/>
      <c r="M52" s="1009"/>
      <c r="N52" s="67"/>
      <c r="P52" s="1010" t="s">
        <v>260</v>
      </c>
      <c r="Q52" s="1010"/>
      <c r="R52" s="1010"/>
      <c r="S52" s="1010"/>
      <c r="T52" s="1010"/>
      <c r="U52" s="1010"/>
      <c r="V52" s="1010"/>
      <c r="W52" s="1010"/>
      <c r="X52" s="1010"/>
      <c r="Y52" s="1010"/>
      <c r="Z52" s="1010"/>
    </row>
    <row r="53" spans="1:26">
      <c r="A53" s="65"/>
      <c r="B53" s="104"/>
      <c r="C53" s="1009"/>
      <c r="D53" s="1009"/>
      <c r="E53" s="1009"/>
      <c r="F53" s="1009"/>
      <c r="G53" s="1009"/>
      <c r="H53" s="1009"/>
      <c r="I53" s="1009"/>
      <c r="J53" s="1009"/>
      <c r="K53" s="1009"/>
      <c r="L53" s="1009"/>
      <c r="M53" s="1009"/>
      <c r="N53" s="67"/>
      <c r="P53" s="1011" t="s">
        <v>264</v>
      </c>
      <c r="Q53" s="1011"/>
      <c r="R53" s="1011"/>
      <c r="S53" s="1011"/>
      <c r="T53" s="1011"/>
      <c r="U53" s="1011"/>
      <c r="V53" s="1011"/>
      <c r="W53" s="1011"/>
      <c r="X53" s="1011"/>
      <c r="Y53" s="1011"/>
      <c r="Z53" s="1011"/>
    </row>
    <row r="54" spans="1:26">
      <c r="A54" s="65"/>
      <c r="B54" s="104"/>
      <c r="C54" s="138"/>
      <c r="D54" s="105"/>
      <c r="E54" s="139"/>
      <c r="F54" s="105"/>
      <c r="G54" s="105"/>
      <c r="H54" s="105" t="s">
        <v>242</v>
      </c>
      <c r="I54" s="105"/>
      <c r="J54" s="105"/>
      <c r="K54" s="105"/>
      <c r="L54" s="105"/>
      <c r="M54" s="105"/>
      <c r="N54" s="67"/>
    </row>
    <row r="55" spans="1:26" ht="12.75" customHeight="1">
      <c r="A55" s="65"/>
      <c r="B55" s="104"/>
      <c r="C55" s="1001" t="s">
        <v>164</v>
      </c>
      <c r="D55" s="1001"/>
      <c r="E55" s="1001"/>
      <c r="F55" s="1001"/>
      <c r="G55" s="1001"/>
      <c r="H55" s="1001"/>
      <c r="I55" s="1001"/>
      <c r="J55" s="1001"/>
      <c r="K55" s="1001"/>
      <c r="L55" s="1001"/>
      <c r="M55" s="1001"/>
      <c r="N55" s="67"/>
    </row>
    <row r="56" spans="1:26">
      <c r="A56" s="65"/>
      <c r="B56" s="104"/>
      <c r="C56" s="1002"/>
      <c r="D56" s="1002"/>
      <c r="E56" s="1002"/>
      <c r="F56" s="1002"/>
      <c r="G56" s="1002"/>
      <c r="H56" s="1002"/>
      <c r="I56" s="1002"/>
      <c r="J56" s="1002"/>
      <c r="K56" s="1002"/>
      <c r="L56" s="1002"/>
      <c r="M56" s="1002"/>
      <c r="N56" s="67"/>
    </row>
    <row r="57" spans="1:26">
      <c r="A57" s="65"/>
      <c r="B57" s="104"/>
      <c r="C57" s="1002"/>
      <c r="D57" s="1002"/>
      <c r="E57" s="1002"/>
      <c r="F57" s="1002"/>
      <c r="G57" s="1002"/>
      <c r="H57" s="1002"/>
      <c r="I57" s="1002"/>
      <c r="J57" s="1002"/>
      <c r="K57" s="1002"/>
      <c r="L57" s="1002"/>
      <c r="M57" s="1002"/>
      <c r="N57" s="67"/>
    </row>
    <row r="58" spans="1:26">
      <c r="A58" s="65"/>
      <c r="B58" s="104"/>
      <c r="C58" s="258"/>
      <c r="D58" s="258"/>
      <c r="E58" s="258"/>
      <c r="F58" s="258"/>
      <c r="G58" s="258"/>
      <c r="H58" s="258"/>
      <c r="I58" s="258"/>
      <c r="J58" s="258"/>
      <c r="K58" s="258"/>
      <c r="L58" s="258"/>
      <c r="M58" s="258"/>
      <c r="N58" s="67"/>
    </row>
    <row r="59" spans="1:26">
      <c r="A59" s="65"/>
      <c r="B59" s="104"/>
      <c r="C59" s="258"/>
      <c r="D59" s="258"/>
      <c r="E59" s="258"/>
      <c r="F59" s="258"/>
      <c r="G59" s="258"/>
      <c r="H59" s="258"/>
      <c r="I59" s="258"/>
      <c r="J59" s="258"/>
      <c r="K59" s="258"/>
      <c r="L59" s="258"/>
      <c r="M59" s="258"/>
      <c r="N59" s="67"/>
    </row>
    <row r="60" spans="1:26">
      <c r="A60" s="65"/>
      <c r="B60" s="104"/>
      <c r="C60" s="105"/>
      <c r="D60" s="1003"/>
      <c r="E60" s="1003"/>
      <c r="F60" s="1003"/>
      <c r="G60" s="1003"/>
      <c r="H60" s="1003"/>
      <c r="I60" s="1003"/>
      <c r="J60" s="1003"/>
      <c r="K60" s="105"/>
      <c r="L60" s="1003"/>
      <c r="M60" s="1003"/>
      <c r="N60" s="67"/>
    </row>
    <row r="61" spans="1:26">
      <c r="A61" s="65"/>
      <c r="B61" s="104"/>
      <c r="C61" s="69"/>
      <c r="D61" s="1004" t="s">
        <v>165</v>
      </c>
      <c r="E61" s="1004"/>
      <c r="F61" s="1004"/>
      <c r="G61" s="1004"/>
      <c r="H61" s="1004"/>
      <c r="I61" s="1004"/>
      <c r="J61" s="1004"/>
      <c r="K61" s="69"/>
      <c r="L61" s="1004">
        <f>NOR!O33</f>
        <v>0</v>
      </c>
      <c r="M61" s="1004"/>
      <c r="N61" s="67"/>
    </row>
    <row r="62" spans="1:26">
      <c r="A62" s="65"/>
      <c r="B62" s="104"/>
      <c r="C62" s="1005" t="s">
        <v>166</v>
      </c>
      <c r="D62" s="1005"/>
      <c r="E62" s="1005"/>
      <c r="F62" s="1005"/>
      <c r="G62" s="1005"/>
      <c r="H62" s="1005"/>
      <c r="I62" s="1005"/>
      <c r="J62" s="1005"/>
      <c r="K62" s="1005"/>
      <c r="L62" s="1006" t="s">
        <v>144</v>
      </c>
      <c r="M62" s="1006"/>
      <c r="N62" s="67"/>
    </row>
    <row r="63" spans="1:26">
      <c r="A63" s="65"/>
      <c r="B63" s="104"/>
      <c r="C63" s="998"/>
      <c r="D63" s="998"/>
      <c r="E63" s="998"/>
      <c r="F63" s="998"/>
      <c r="G63" s="998"/>
      <c r="H63" s="998"/>
      <c r="I63" s="998"/>
      <c r="J63" s="998"/>
      <c r="K63" s="998"/>
      <c r="L63" s="69"/>
      <c r="M63" s="999"/>
      <c r="N63" s="1000"/>
    </row>
    <row r="64" spans="1:26" ht="13.5" thickBot="1">
      <c r="A64" s="65"/>
      <c r="B64" s="70"/>
      <c r="C64" s="71"/>
      <c r="D64" s="71"/>
      <c r="E64" s="71"/>
      <c r="F64" s="71"/>
      <c r="G64" s="71"/>
      <c r="H64" s="71"/>
      <c r="I64" s="71"/>
      <c r="J64" s="71"/>
      <c r="K64" s="71"/>
      <c r="L64" s="71"/>
      <c r="M64" s="71"/>
      <c r="N64" s="72"/>
    </row>
  </sheetData>
  <mergeCells count="44">
    <mergeCell ref="E7:G7"/>
    <mergeCell ref="J7:M7"/>
    <mergeCell ref="F2:K3"/>
    <mergeCell ref="E5:G5"/>
    <mergeCell ref="J5:M5"/>
    <mergeCell ref="E6:G6"/>
    <mergeCell ref="J6:M6"/>
    <mergeCell ref="C18:I18"/>
    <mergeCell ref="J18:J19"/>
    <mergeCell ref="K18:M18"/>
    <mergeCell ref="C19:D19"/>
    <mergeCell ref="E19:F19"/>
    <mergeCell ref="E8:G8"/>
    <mergeCell ref="J8:M8"/>
    <mergeCell ref="F9:G9"/>
    <mergeCell ref="J9:M9"/>
    <mergeCell ref="F10:I10"/>
    <mergeCell ref="I37:M37"/>
    <mergeCell ref="G19:H19"/>
    <mergeCell ref="C20:D20"/>
    <mergeCell ref="E20:F20"/>
    <mergeCell ref="G20:H20"/>
    <mergeCell ref="E28:M28"/>
    <mergeCell ref="J29:M29"/>
    <mergeCell ref="I30:M30"/>
    <mergeCell ref="J32:M32"/>
    <mergeCell ref="I33:M33"/>
    <mergeCell ref="J34:M34"/>
    <mergeCell ref="I35:M35"/>
    <mergeCell ref="I41:M41"/>
    <mergeCell ref="I49:M49"/>
    <mergeCell ref="C52:M52"/>
    <mergeCell ref="P52:Z52"/>
    <mergeCell ref="C53:M53"/>
    <mergeCell ref="P53:Z53"/>
    <mergeCell ref="C63:K63"/>
    <mergeCell ref="M63:N63"/>
    <mergeCell ref="C55:M57"/>
    <mergeCell ref="D60:J60"/>
    <mergeCell ref="L60:M60"/>
    <mergeCell ref="D61:J61"/>
    <mergeCell ref="L61:M61"/>
    <mergeCell ref="C62:K62"/>
    <mergeCell ref="L62:M62"/>
  </mergeCells>
  <pageMargins left="0.25" right="0.25" top="0.75" bottom="0.75" header="0.3" footer="0.3"/>
  <pageSetup paperSize="9" scale="7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3">
    <tabColor rgb="FF0070C0"/>
    <pageSetUpPr fitToPage="1"/>
  </sheetPr>
  <dimension ref="A1:Z64"/>
  <sheetViews>
    <sheetView workbookViewId="0"/>
  </sheetViews>
  <sheetFormatPr baseColWidth="10" defaultColWidth="9" defaultRowHeight="12.75"/>
  <cols>
    <col min="1" max="1" width="1.28515625" style="92" customWidth="1"/>
    <col min="2" max="2" width="2.5703125" style="92" customWidth="1"/>
    <col min="3" max="3" width="6.28515625" style="92" customWidth="1"/>
    <col min="4" max="4" width="3.7109375" style="92" customWidth="1"/>
    <col min="5" max="5" width="9" style="92"/>
    <col min="6" max="6" width="7.5703125" style="92" customWidth="1"/>
    <col min="7" max="7" width="9" style="92"/>
    <col min="8" max="8" width="12" style="92" customWidth="1"/>
    <col min="9" max="9" width="11.28515625" style="92" customWidth="1"/>
    <col min="10" max="10" width="10" style="92" customWidth="1"/>
    <col min="11" max="11" width="18.85546875" style="92" customWidth="1"/>
    <col min="12" max="12" width="18.28515625" style="92" customWidth="1"/>
    <col min="13" max="13" width="11.85546875" style="92" customWidth="1"/>
    <col min="14" max="14" width="2.85546875" style="92" customWidth="1"/>
    <col min="15" max="16384" width="9" style="92"/>
  </cols>
  <sheetData>
    <row r="1" spans="1:14" ht="13.5" thickBot="1">
      <c r="A1" s="65"/>
      <c r="B1" s="65"/>
      <c r="C1" s="65"/>
      <c r="D1" s="65"/>
      <c r="E1" s="65"/>
      <c r="F1" s="65"/>
      <c r="G1" s="65"/>
      <c r="H1" s="65"/>
      <c r="I1" s="65"/>
      <c r="J1" s="65"/>
      <c r="K1" s="65"/>
      <c r="L1" s="65"/>
      <c r="M1" s="65"/>
      <c r="N1" s="65"/>
    </row>
    <row r="2" spans="1:14" ht="21">
      <c r="A2" s="65"/>
      <c r="B2" s="127"/>
      <c r="C2" s="128"/>
      <c r="D2" s="128"/>
      <c r="E2" s="99"/>
      <c r="F2" s="852" t="s">
        <v>167</v>
      </c>
      <c r="G2" s="852"/>
      <c r="H2" s="852"/>
      <c r="I2" s="852"/>
      <c r="J2" s="852"/>
      <c r="K2" s="852"/>
      <c r="L2" s="110" t="s">
        <v>168</v>
      </c>
      <c r="M2" s="254" t="s">
        <v>2</v>
      </c>
      <c r="N2" s="129"/>
    </row>
    <row r="3" spans="1:14" ht="18.75" customHeight="1" thickBot="1">
      <c r="A3" s="65"/>
      <c r="B3" s="100"/>
      <c r="C3" s="101"/>
      <c r="D3" s="101"/>
      <c r="E3" s="101"/>
      <c r="F3" s="854"/>
      <c r="G3" s="854"/>
      <c r="H3" s="854"/>
      <c r="I3" s="854"/>
      <c r="J3" s="854"/>
      <c r="K3" s="854"/>
      <c r="L3" s="111" t="s">
        <v>3</v>
      </c>
      <c r="M3" s="255">
        <v>42917</v>
      </c>
      <c r="N3" s="130"/>
    </row>
    <row r="4" spans="1:14">
      <c r="A4" s="65"/>
      <c r="B4" s="104"/>
      <c r="C4" s="69"/>
      <c r="D4" s="69"/>
      <c r="E4" s="69"/>
      <c r="F4" s="131"/>
      <c r="G4" s="131"/>
      <c r="H4" s="131"/>
      <c r="I4" s="131"/>
      <c r="J4" s="131"/>
      <c r="K4" s="131"/>
      <c r="L4" s="113"/>
      <c r="M4" s="132"/>
      <c r="N4" s="67"/>
    </row>
    <row r="5" spans="1:14" ht="15.75">
      <c r="A5" s="65"/>
      <c r="B5" s="102"/>
      <c r="C5" s="23" t="s">
        <v>147</v>
      </c>
      <c r="D5" s="23"/>
      <c r="E5" s="1031" t="s">
        <v>6</v>
      </c>
      <c r="F5" s="1031"/>
      <c r="G5" s="1031"/>
      <c r="H5" s="23"/>
      <c r="I5" s="206" t="s">
        <v>4</v>
      </c>
      <c r="J5" s="1031" t="s">
        <v>95</v>
      </c>
      <c r="K5" s="1031"/>
      <c r="L5" s="1031"/>
      <c r="M5" s="1031"/>
      <c r="N5" s="67"/>
    </row>
    <row r="6" spans="1:14" ht="15.75">
      <c r="A6" s="65"/>
      <c r="B6" s="102"/>
      <c r="C6" s="23" t="s">
        <v>90</v>
      </c>
      <c r="D6" s="23"/>
      <c r="E6" s="1034">
        <f>'Data Entry'!B19</f>
        <v>0</v>
      </c>
      <c r="F6" s="1034"/>
      <c r="G6" s="1034"/>
      <c r="H6" s="23"/>
      <c r="I6" s="23"/>
      <c r="J6" s="630" t="str">
        <f>NOR!B6</f>
        <v/>
      </c>
      <c r="K6" s="630"/>
      <c r="L6" s="630"/>
      <c r="M6" s="630"/>
      <c r="N6" s="67"/>
    </row>
    <row r="7" spans="1:14" ht="15.75">
      <c r="A7" s="65"/>
      <c r="B7" s="102"/>
      <c r="C7" s="23" t="s">
        <v>25</v>
      </c>
      <c r="D7" s="23"/>
      <c r="E7" s="1030">
        <f ca="1">TODAY()</f>
        <v>46025</v>
      </c>
      <c r="F7" s="1030"/>
      <c r="G7" s="1030"/>
      <c r="H7" s="23"/>
      <c r="I7" s="23"/>
      <c r="J7" s="1031">
        <f>NOR!B4</f>
        <v>0</v>
      </c>
      <c r="K7" s="1031"/>
      <c r="L7" s="1031"/>
      <c r="M7" s="1031"/>
      <c r="N7" s="67"/>
    </row>
    <row r="8" spans="1:14" ht="15.75">
      <c r="A8" s="65"/>
      <c r="B8" s="102"/>
      <c r="C8" s="23" t="s">
        <v>98</v>
      </c>
      <c r="D8" s="23"/>
      <c r="E8" s="630">
        <f>'Data Entry'!B11</f>
        <v>0</v>
      </c>
      <c r="F8" s="630"/>
      <c r="G8" s="630"/>
      <c r="H8" s="23"/>
      <c r="I8" s="23"/>
      <c r="J8" s="1022"/>
      <c r="K8" s="1022"/>
      <c r="L8" s="1022"/>
      <c r="M8" s="1022"/>
      <c r="N8" s="67"/>
    </row>
    <row r="9" spans="1:14" ht="15.75">
      <c r="A9" s="65"/>
      <c r="B9" s="102"/>
      <c r="C9" s="23" t="s">
        <v>148</v>
      </c>
      <c r="D9" s="23"/>
      <c r="E9" s="115"/>
      <c r="F9" s="1023" t="str">
        <f>NOR!P7</f>
        <v/>
      </c>
      <c r="G9" s="1023"/>
      <c r="H9" s="23"/>
      <c r="I9" s="23"/>
      <c r="J9" s="1024"/>
      <c r="K9" s="1024"/>
      <c r="L9" s="1024"/>
      <c r="M9" s="1024"/>
      <c r="N9" s="67"/>
    </row>
    <row r="10" spans="1:14" ht="15.75">
      <c r="A10" s="65"/>
      <c r="B10" s="102"/>
      <c r="C10" s="23" t="s">
        <v>140</v>
      </c>
      <c r="D10" s="23"/>
      <c r="E10" s="115"/>
      <c r="F10" s="1025" t="s">
        <v>352</v>
      </c>
      <c r="G10" s="1025"/>
      <c r="H10" s="1025"/>
      <c r="I10" s="1025"/>
      <c r="J10" s="206"/>
      <c r="K10" s="206"/>
      <c r="L10" s="206"/>
      <c r="M10" s="206"/>
      <c r="N10" s="67"/>
    </row>
    <row r="11" spans="1:14" ht="15.75">
      <c r="A11" s="65"/>
      <c r="B11" s="104"/>
      <c r="C11" s="103"/>
      <c r="D11" s="103"/>
      <c r="E11" s="103"/>
      <c r="F11" s="103"/>
      <c r="G11" s="103"/>
      <c r="H11" s="103"/>
      <c r="I11" s="103"/>
      <c r="J11" s="103"/>
      <c r="K11" s="103"/>
      <c r="L11" s="103"/>
      <c r="M11" s="105"/>
      <c r="N11" s="67"/>
    </row>
    <row r="12" spans="1:14" ht="15.75">
      <c r="A12" s="65"/>
      <c r="B12" s="104"/>
      <c r="C12" s="106" t="s">
        <v>169</v>
      </c>
      <c r="D12" s="103"/>
      <c r="E12" s="103"/>
      <c r="F12" s="103"/>
      <c r="G12" s="103"/>
      <c r="H12" s="103"/>
      <c r="I12" s="103"/>
      <c r="J12" s="103"/>
      <c r="K12" s="103"/>
      <c r="L12" s="103"/>
      <c r="M12" s="105"/>
      <c r="N12" s="67"/>
    </row>
    <row r="13" spans="1:14" ht="15.75">
      <c r="A13" s="65"/>
      <c r="B13" s="104"/>
      <c r="C13" s="106" t="s">
        <v>170</v>
      </c>
      <c r="D13" s="103"/>
      <c r="E13" s="103"/>
      <c r="F13" s="103"/>
      <c r="G13" s="103"/>
      <c r="H13" s="103"/>
      <c r="I13" s="103"/>
      <c r="J13" s="103"/>
      <c r="K13" s="103"/>
      <c r="L13" s="105"/>
      <c r="M13" s="105"/>
      <c r="N13" s="67"/>
    </row>
    <row r="14" spans="1:14">
      <c r="A14" s="65"/>
      <c r="B14" s="104"/>
      <c r="C14" s="133"/>
      <c r="D14" s="105"/>
      <c r="E14" s="105"/>
      <c r="F14" s="105"/>
      <c r="G14" s="105"/>
      <c r="H14" s="105"/>
      <c r="I14" s="105"/>
      <c r="J14" s="105"/>
      <c r="K14" s="105"/>
      <c r="L14" s="105"/>
      <c r="M14" s="105"/>
      <c r="N14" s="67"/>
    </row>
    <row r="15" spans="1:14">
      <c r="A15" s="65"/>
      <c r="B15" s="104"/>
      <c r="C15" s="219" t="s">
        <v>152</v>
      </c>
      <c r="D15" s="105"/>
      <c r="E15" s="105" t="s">
        <v>272</v>
      </c>
      <c r="F15" s="105"/>
      <c r="G15" s="105"/>
      <c r="H15" s="105"/>
      <c r="I15" s="105"/>
      <c r="J15" s="105"/>
      <c r="K15" s="105"/>
      <c r="L15" s="134"/>
      <c r="M15" s="105"/>
      <c r="N15" s="67"/>
    </row>
    <row r="16" spans="1:14">
      <c r="A16" s="65"/>
      <c r="B16" s="104"/>
      <c r="C16" s="133"/>
      <c r="D16" s="105"/>
      <c r="E16" s="105" t="s">
        <v>278</v>
      </c>
      <c r="F16" s="105"/>
      <c r="G16" s="105"/>
      <c r="H16" s="105"/>
      <c r="I16" s="105"/>
      <c r="J16" s="105"/>
      <c r="K16" s="105"/>
      <c r="L16" s="135"/>
      <c r="M16" s="136"/>
      <c r="N16" s="67"/>
    </row>
    <row r="17" spans="1:14">
      <c r="A17" s="65"/>
      <c r="B17" s="104"/>
      <c r="C17" s="133"/>
      <c r="D17" s="105"/>
      <c r="E17" s="105"/>
      <c r="F17" s="105"/>
      <c r="G17" s="105"/>
      <c r="H17" s="105"/>
      <c r="I17" s="105"/>
      <c r="J17" s="105"/>
      <c r="K17" s="105"/>
      <c r="L17" s="135"/>
      <c r="M17" s="136"/>
      <c r="N17" s="67"/>
    </row>
    <row r="18" spans="1:14">
      <c r="A18" s="65"/>
      <c r="B18" s="104"/>
      <c r="C18" s="1026" t="s">
        <v>279</v>
      </c>
      <c r="D18" s="1027"/>
      <c r="E18" s="1027"/>
      <c r="F18" s="1027"/>
      <c r="G18" s="1027"/>
      <c r="H18" s="1027"/>
      <c r="I18" s="1028"/>
      <c r="J18" s="1029"/>
      <c r="K18" s="1026" t="s">
        <v>280</v>
      </c>
      <c r="L18" s="1027"/>
      <c r="M18" s="1028"/>
      <c r="N18" s="67"/>
    </row>
    <row r="19" spans="1:14">
      <c r="A19" s="65"/>
      <c r="B19" s="104"/>
      <c r="C19" s="1012" t="s">
        <v>226</v>
      </c>
      <c r="D19" s="1013"/>
      <c r="E19" s="1012" t="s">
        <v>171</v>
      </c>
      <c r="F19" s="1013"/>
      <c r="G19" s="1012" t="s">
        <v>172</v>
      </c>
      <c r="H19" s="1013"/>
      <c r="I19" s="87" t="s">
        <v>173</v>
      </c>
      <c r="J19" s="1029"/>
      <c r="K19" s="259" t="s">
        <v>171</v>
      </c>
      <c r="L19" s="87" t="s">
        <v>172</v>
      </c>
      <c r="M19" s="87" t="s">
        <v>174</v>
      </c>
      <c r="N19" s="67"/>
    </row>
    <row r="20" spans="1:14" ht="25.15" customHeight="1">
      <c r="A20" s="65"/>
      <c r="B20" s="104"/>
      <c r="C20" s="1014" t="str">
        <f>F10</f>
        <v>UMS (BOB)</v>
      </c>
      <c r="D20" s="1015"/>
      <c r="E20" s="1016">
        <v>3947.99</v>
      </c>
      <c r="F20" s="1017"/>
      <c r="G20" s="1018">
        <v>3942.5410000000002</v>
      </c>
      <c r="H20" s="1019"/>
      <c r="I20" s="228">
        <f>(G20-E20)/E20*100</f>
        <v>-0.13801959984700099</v>
      </c>
      <c r="J20" s="222" t="str">
        <f>F10</f>
        <v>UMS (BOB)</v>
      </c>
      <c r="K20" s="260">
        <f>IF(E20="","",E20)</f>
        <v>3947.99</v>
      </c>
      <c r="L20" s="218">
        <v>3937.0219999999999</v>
      </c>
      <c r="M20" s="228">
        <f>(L20-K20)/L20*100</f>
        <v>-0.27858620043270893</v>
      </c>
      <c r="N20" s="67"/>
    </row>
    <row r="21" spans="1:14">
      <c r="A21" s="65"/>
      <c r="B21" s="104"/>
      <c r="C21" s="133"/>
      <c r="D21" s="105"/>
      <c r="E21" s="105"/>
      <c r="F21" s="105"/>
      <c r="G21" s="105"/>
      <c r="H21" s="105"/>
      <c r="I21" s="105"/>
      <c r="J21" s="105"/>
      <c r="K21" s="105"/>
      <c r="L21" s="105"/>
      <c r="M21" s="105"/>
      <c r="N21" s="67"/>
    </row>
    <row r="22" spans="1:14" ht="15">
      <c r="A22" s="65"/>
      <c r="B22" s="104"/>
      <c r="C22" s="219" t="s">
        <v>152</v>
      </c>
      <c r="D22" s="105"/>
      <c r="E22" s="105" t="s">
        <v>239</v>
      </c>
      <c r="F22" s="105"/>
      <c r="G22" s="105"/>
      <c r="H22" s="105"/>
      <c r="J22" s="257" t="s">
        <v>358</v>
      </c>
      <c r="K22" s="107"/>
      <c r="L22" s="232" t="s">
        <v>357</v>
      </c>
      <c r="M22" s="107"/>
      <c r="N22" s="67"/>
    </row>
    <row r="23" spans="1:14">
      <c r="A23" s="65"/>
      <c r="B23" s="104"/>
      <c r="C23" s="133"/>
      <c r="D23" s="105"/>
      <c r="E23" s="105"/>
      <c r="F23" s="105"/>
      <c r="G23" s="105"/>
      <c r="H23" s="105"/>
      <c r="I23" s="105"/>
      <c r="J23" s="256"/>
      <c r="K23" s="105"/>
      <c r="L23" s="105"/>
      <c r="M23" s="105"/>
      <c r="N23" s="67"/>
    </row>
    <row r="24" spans="1:14">
      <c r="A24" s="65"/>
      <c r="B24" s="104"/>
      <c r="C24" s="219"/>
      <c r="D24" s="105"/>
      <c r="E24" s="105" t="s">
        <v>177</v>
      </c>
      <c r="F24" s="105"/>
      <c r="G24" s="105"/>
      <c r="H24" s="105"/>
      <c r="J24" s="257" t="s">
        <v>175</v>
      </c>
      <c r="K24" s="107"/>
      <c r="L24" s="232" t="s">
        <v>176</v>
      </c>
      <c r="M24" s="107"/>
      <c r="N24" s="67"/>
    </row>
    <row r="25" spans="1:14">
      <c r="A25" s="65"/>
      <c r="B25" s="104"/>
      <c r="C25" s="133"/>
      <c r="D25" s="105"/>
      <c r="E25" s="105"/>
      <c r="F25" s="105"/>
      <c r="G25" s="105"/>
      <c r="H25" s="105"/>
      <c r="I25" s="105"/>
      <c r="J25" s="105"/>
      <c r="K25" s="105"/>
      <c r="L25" s="105"/>
      <c r="M25" s="105"/>
      <c r="N25" s="67"/>
    </row>
    <row r="26" spans="1:14" ht="15">
      <c r="A26" s="65"/>
      <c r="B26" s="104"/>
      <c r="C26" s="105"/>
      <c r="D26" s="105"/>
      <c r="E26" s="105"/>
      <c r="F26" s="105"/>
      <c r="G26" s="105"/>
      <c r="H26" s="105"/>
      <c r="I26" s="106" t="s">
        <v>150</v>
      </c>
      <c r="J26" s="105"/>
      <c r="K26" s="105"/>
      <c r="L26" s="105"/>
      <c r="M26" s="105"/>
      <c r="N26" s="67"/>
    </row>
    <row r="27" spans="1:14">
      <c r="A27" s="65"/>
      <c r="B27" s="104"/>
      <c r="C27" s="133"/>
      <c r="D27" s="105"/>
      <c r="E27" s="137"/>
      <c r="F27" s="105"/>
      <c r="G27" s="105"/>
      <c r="H27" s="105"/>
      <c r="I27" s="105"/>
      <c r="J27" s="105"/>
      <c r="K27" s="105"/>
      <c r="L27" s="105"/>
      <c r="M27" s="105"/>
      <c r="N27" s="67"/>
    </row>
    <row r="28" spans="1:14" ht="12.75" customHeight="1">
      <c r="A28" s="65"/>
      <c r="B28" s="104"/>
      <c r="C28" s="219"/>
      <c r="D28" s="105"/>
      <c r="E28" s="1020" t="s">
        <v>349</v>
      </c>
      <c r="F28" s="1020"/>
      <c r="G28" s="1020"/>
      <c r="H28" s="1020"/>
      <c r="I28" s="1020"/>
      <c r="J28" s="1020"/>
      <c r="K28" s="1020"/>
      <c r="L28" s="1020"/>
      <c r="M28" s="1020"/>
      <c r="N28" s="67"/>
    </row>
    <row r="29" spans="1:14">
      <c r="A29" s="65"/>
      <c r="B29" s="104"/>
      <c r="C29" s="133"/>
      <c r="D29" s="105"/>
      <c r="E29" s="105"/>
      <c r="F29" s="105"/>
      <c r="G29" s="105"/>
      <c r="H29" s="105"/>
      <c r="I29" s="105"/>
      <c r="J29" s="1021"/>
      <c r="K29" s="1021"/>
      <c r="L29" s="1021"/>
      <c r="M29" s="1021"/>
      <c r="N29" s="67"/>
    </row>
    <row r="30" spans="1:14">
      <c r="A30" s="65"/>
      <c r="B30" s="104"/>
      <c r="C30" s="219"/>
      <c r="D30" s="105"/>
      <c r="E30" s="105" t="s">
        <v>178</v>
      </c>
      <c r="F30" s="105"/>
      <c r="G30" s="105"/>
      <c r="H30" s="105"/>
      <c r="I30" s="1007"/>
      <c r="J30" s="1007"/>
      <c r="K30" s="1007"/>
      <c r="L30" s="1007"/>
      <c r="M30" s="1007"/>
      <c r="N30" s="67"/>
    </row>
    <row r="31" spans="1:14">
      <c r="A31" s="65"/>
      <c r="B31" s="104"/>
      <c r="C31" s="133"/>
      <c r="D31" s="105"/>
      <c r="E31" s="105" t="s">
        <v>179</v>
      </c>
      <c r="F31" s="105"/>
      <c r="G31" s="105"/>
      <c r="H31" s="105"/>
      <c r="I31" s="138"/>
      <c r="J31" s="138"/>
      <c r="K31" s="138"/>
      <c r="L31" s="138"/>
      <c r="M31" s="138"/>
      <c r="N31" s="67"/>
    </row>
    <row r="32" spans="1:14">
      <c r="A32" s="65"/>
      <c r="B32" s="104"/>
      <c r="C32" s="133"/>
      <c r="D32" s="105"/>
      <c r="E32" s="105"/>
      <c r="F32" s="105"/>
      <c r="G32" s="105"/>
      <c r="H32" s="105"/>
      <c r="I32" s="105"/>
      <c r="J32" s="1021"/>
      <c r="K32" s="1021"/>
      <c r="L32" s="1021"/>
      <c r="M32" s="1021"/>
      <c r="N32" s="67"/>
    </row>
    <row r="33" spans="1:18">
      <c r="A33" s="65"/>
      <c r="B33" s="104"/>
      <c r="C33" s="219"/>
      <c r="D33" s="105"/>
      <c r="E33" s="105" t="s">
        <v>180</v>
      </c>
      <c r="F33" s="105"/>
      <c r="G33" s="105"/>
      <c r="H33" s="105"/>
      <c r="I33" s="1007"/>
      <c r="J33" s="1007"/>
      <c r="K33" s="1007"/>
      <c r="L33" s="1007"/>
      <c r="M33" s="1007"/>
      <c r="N33" s="67"/>
    </row>
    <row r="34" spans="1:18">
      <c r="A34" s="65"/>
      <c r="B34" s="104"/>
      <c r="C34" s="133"/>
      <c r="D34" s="105"/>
      <c r="E34" s="105"/>
      <c r="F34" s="105"/>
      <c r="G34" s="105"/>
      <c r="H34" s="105"/>
      <c r="I34" s="105"/>
      <c r="J34" s="1021"/>
      <c r="K34" s="1021"/>
      <c r="L34" s="1021"/>
      <c r="M34" s="1021"/>
      <c r="N34" s="67"/>
    </row>
    <row r="35" spans="1:18">
      <c r="A35" s="65"/>
      <c r="B35" s="104"/>
      <c r="C35" s="219"/>
      <c r="D35" s="105"/>
      <c r="E35" s="105" t="s">
        <v>181</v>
      </c>
      <c r="F35" s="105"/>
      <c r="G35" s="105"/>
      <c r="H35" s="105"/>
      <c r="I35" s="1008"/>
      <c r="J35" s="1008"/>
      <c r="K35" s="1008"/>
      <c r="L35" s="1008"/>
      <c r="M35" s="1008"/>
      <c r="N35" s="67"/>
    </row>
    <row r="36" spans="1:18">
      <c r="A36" s="65"/>
      <c r="B36" s="104"/>
      <c r="C36" s="133"/>
      <c r="D36" s="105"/>
      <c r="E36" s="105"/>
      <c r="F36" s="105"/>
      <c r="G36" s="105"/>
      <c r="H36" s="105"/>
      <c r="I36" s="105"/>
      <c r="J36" s="105"/>
      <c r="K36" s="105"/>
      <c r="L36" s="105"/>
      <c r="M36" s="105"/>
      <c r="N36" s="67"/>
    </row>
    <row r="37" spans="1:18">
      <c r="A37" s="65"/>
      <c r="B37" s="104"/>
      <c r="C37" s="219"/>
      <c r="D37" s="105"/>
      <c r="E37" s="105" t="s">
        <v>182</v>
      </c>
      <c r="F37" s="105"/>
      <c r="G37" s="105"/>
      <c r="H37" s="105"/>
      <c r="I37" s="1008"/>
      <c r="J37" s="1008"/>
      <c r="K37" s="1008"/>
      <c r="L37" s="1008"/>
      <c r="M37" s="1008"/>
      <c r="N37" s="67"/>
    </row>
    <row r="38" spans="1:18">
      <c r="A38" s="65"/>
      <c r="B38" s="104"/>
      <c r="C38" s="133"/>
      <c r="D38" s="105"/>
      <c r="E38" s="105"/>
      <c r="F38" s="105"/>
      <c r="G38" s="105"/>
      <c r="H38" s="105"/>
      <c r="I38" s="105"/>
      <c r="J38" s="105"/>
      <c r="K38" s="105"/>
      <c r="L38" s="105"/>
      <c r="M38" s="105"/>
      <c r="N38" s="67"/>
    </row>
    <row r="39" spans="1:18">
      <c r="A39" s="65"/>
      <c r="B39" s="104"/>
      <c r="C39" s="219"/>
      <c r="D39" s="105"/>
      <c r="E39" s="105" t="s">
        <v>183</v>
      </c>
      <c r="F39" s="105"/>
      <c r="G39" s="105"/>
      <c r="H39" s="105"/>
      <c r="I39" s="107" t="s">
        <v>184</v>
      </c>
      <c r="J39" s="107"/>
      <c r="K39" s="257"/>
      <c r="L39" s="107" t="s">
        <v>185</v>
      </c>
      <c r="M39" s="257"/>
      <c r="N39" s="67"/>
    </row>
    <row r="40" spans="1:18">
      <c r="A40" s="65"/>
      <c r="B40" s="104"/>
      <c r="C40" s="133"/>
      <c r="D40" s="105"/>
      <c r="E40" s="105"/>
      <c r="F40" s="105"/>
      <c r="G40" s="105"/>
      <c r="H40" s="105"/>
      <c r="I40" s="105"/>
      <c r="J40" s="105"/>
      <c r="K40" s="105"/>
      <c r="L40" s="105"/>
      <c r="M40" s="105"/>
      <c r="N40" s="67"/>
    </row>
    <row r="41" spans="1:18">
      <c r="A41" s="65"/>
      <c r="B41" s="104"/>
      <c r="C41" s="219"/>
      <c r="D41" s="105"/>
      <c r="E41" s="105" t="s">
        <v>186</v>
      </c>
      <c r="F41" s="105"/>
      <c r="G41" s="105"/>
      <c r="H41" s="105"/>
      <c r="I41" s="1007"/>
      <c r="J41" s="1007"/>
      <c r="K41" s="1007"/>
      <c r="L41" s="1007"/>
      <c r="M41" s="1007"/>
      <c r="N41" s="67"/>
    </row>
    <row r="42" spans="1:18">
      <c r="A42" s="65"/>
      <c r="B42" s="104"/>
      <c r="C42" s="133"/>
      <c r="D42" s="105"/>
      <c r="E42" s="105" t="s">
        <v>187</v>
      </c>
      <c r="F42" s="105"/>
      <c r="G42" s="105"/>
      <c r="H42" s="105"/>
      <c r="I42" s="138"/>
      <c r="J42" s="138"/>
      <c r="K42" s="138"/>
      <c r="L42" s="138"/>
      <c r="M42" s="138"/>
      <c r="N42" s="67"/>
    </row>
    <row r="43" spans="1:18">
      <c r="A43" s="65"/>
      <c r="B43" s="104"/>
      <c r="C43" s="133"/>
      <c r="D43" s="105"/>
      <c r="E43" s="105"/>
      <c r="F43" s="105"/>
      <c r="G43" s="105"/>
      <c r="H43" s="105"/>
      <c r="I43" s="105"/>
      <c r="J43" s="105"/>
      <c r="K43" s="105"/>
      <c r="L43" s="105"/>
      <c r="M43" s="105"/>
      <c r="N43" s="67"/>
    </row>
    <row r="44" spans="1:18">
      <c r="A44" s="65"/>
      <c r="B44" s="104"/>
      <c r="C44" s="219" t="s">
        <v>152</v>
      </c>
      <c r="D44" s="105"/>
      <c r="E44" s="105" t="s">
        <v>335</v>
      </c>
      <c r="F44" s="105"/>
      <c r="G44" s="105"/>
      <c r="H44" s="105"/>
      <c r="I44" s="105"/>
      <c r="J44" s="105"/>
      <c r="K44" s="105"/>
      <c r="L44" s="105"/>
      <c r="M44" s="105"/>
      <c r="N44" s="67"/>
      <c r="R44" s="92" t="s">
        <v>254</v>
      </c>
    </row>
    <row r="45" spans="1:18">
      <c r="A45" s="65"/>
      <c r="B45" s="104"/>
      <c r="C45" s="133"/>
      <c r="D45" s="105"/>
      <c r="E45" s="105" t="s">
        <v>336</v>
      </c>
      <c r="F45" s="105"/>
      <c r="G45" s="105"/>
      <c r="H45" s="105"/>
      <c r="I45" s="105"/>
      <c r="J45" s="105"/>
      <c r="K45" s="105"/>
      <c r="L45" s="105"/>
      <c r="M45" s="105"/>
      <c r="N45" s="67"/>
    </row>
    <row r="46" spans="1:18">
      <c r="A46" s="65"/>
      <c r="B46" s="104"/>
      <c r="C46" s="133"/>
      <c r="D46" s="105"/>
      <c r="E46" s="105"/>
      <c r="F46" s="105"/>
      <c r="G46" s="105"/>
      <c r="H46" s="105"/>
      <c r="I46" s="105"/>
      <c r="J46" s="105"/>
      <c r="K46" s="105"/>
      <c r="L46" s="105"/>
      <c r="M46" s="105"/>
      <c r="N46" s="67"/>
    </row>
    <row r="47" spans="1:18">
      <c r="A47" s="65"/>
      <c r="B47" s="104"/>
      <c r="C47" s="219"/>
      <c r="D47" s="105"/>
      <c r="E47" s="105" t="s">
        <v>188</v>
      </c>
      <c r="F47" s="105"/>
      <c r="G47" s="105"/>
      <c r="H47" s="105"/>
      <c r="I47" s="105"/>
      <c r="J47" s="105"/>
      <c r="K47" s="105"/>
      <c r="L47" s="105"/>
      <c r="M47" s="105"/>
      <c r="N47" s="67"/>
    </row>
    <row r="48" spans="1:18">
      <c r="A48" s="65"/>
      <c r="B48" s="104"/>
      <c r="C48" s="133"/>
      <c r="D48" s="105"/>
      <c r="E48" s="105"/>
      <c r="F48" s="105"/>
      <c r="G48" s="105"/>
      <c r="H48" s="105"/>
      <c r="I48" s="105"/>
      <c r="J48" s="105"/>
      <c r="K48" s="105"/>
      <c r="L48" s="105"/>
      <c r="M48" s="105"/>
      <c r="N48" s="67"/>
    </row>
    <row r="49" spans="1:26">
      <c r="A49" s="65"/>
      <c r="B49" s="104"/>
      <c r="C49" s="219"/>
      <c r="D49" s="105"/>
      <c r="E49" s="105" t="s">
        <v>189</v>
      </c>
      <c r="F49" s="105"/>
      <c r="G49" s="105"/>
      <c r="H49" s="105"/>
      <c r="I49" s="1008"/>
      <c r="J49" s="1008"/>
      <c r="K49" s="1008"/>
      <c r="L49" s="1008"/>
      <c r="M49" s="1008"/>
      <c r="N49" s="67"/>
    </row>
    <row r="50" spans="1:26">
      <c r="A50" s="65"/>
      <c r="B50" s="104"/>
      <c r="C50" s="133"/>
      <c r="D50" s="105"/>
      <c r="E50" s="105"/>
      <c r="F50" s="105"/>
      <c r="G50" s="105"/>
      <c r="H50" s="105"/>
      <c r="I50" s="105"/>
      <c r="J50" s="105"/>
      <c r="K50" s="105"/>
      <c r="L50" s="105"/>
      <c r="M50" s="105"/>
      <c r="N50" s="67"/>
    </row>
    <row r="51" spans="1:26">
      <c r="A51" s="65"/>
      <c r="B51" s="104"/>
      <c r="C51" s="219"/>
      <c r="D51" s="105"/>
      <c r="E51" s="105" t="s">
        <v>190</v>
      </c>
      <c r="F51" s="105"/>
      <c r="G51" s="105"/>
      <c r="H51" s="105"/>
      <c r="I51" s="105"/>
      <c r="J51" s="105"/>
      <c r="K51" s="105"/>
      <c r="L51" s="105"/>
      <c r="M51" s="105"/>
      <c r="N51" s="67"/>
    </row>
    <row r="52" spans="1:26">
      <c r="A52" s="65"/>
      <c r="B52" s="104"/>
      <c r="C52" s="1035"/>
      <c r="D52" s="1035"/>
      <c r="E52" s="1035"/>
      <c r="F52" s="1035"/>
      <c r="G52" s="1035"/>
      <c r="H52" s="1035"/>
      <c r="I52" s="1035"/>
      <c r="J52" s="1035"/>
      <c r="K52" s="1035"/>
      <c r="L52" s="1035"/>
      <c r="M52" s="1035"/>
      <c r="N52" s="67"/>
      <c r="P52" s="1010" t="s">
        <v>260</v>
      </c>
      <c r="Q52" s="1010"/>
      <c r="R52" s="1010"/>
      <c r="S52" s="1010"/>
      <c r="T52" s="1010"/>
      <c r="U52" s="1010"/>
      <c r="V52" s="1010"/>
      <c r="W52" s="1010"/>
      <c r="X52" s="1010"/>
      <c r="Y52" s="1010"/>
      <c r="Z52" s="1010"/>
    </row>
    <row r="53" spans="1:26">
      <c r="A53" s="65"/>
      <c r="B53" s="104"/>
      <c r="C53" s="1009"/>
      <c r="D53" s="1009"/>
      <c r="E53" s="1009"/>
      <c r="F53" s="1009"/>
      <c r="G53" s="1009"/>
      <c r="H53" s="1009"/>
      <c r="I53" s="1009"/>
      <c r="J53" s="1009"/>
      <c r="K53" s="1009"/>
      <c r="L53" s="1009"/>
      <c r="M53" s="1009"/>
      <c r="N53" s="67"/>
      <c r="P53" s="1011" t="s">
        <v>264</v>
      </c>
      <c r="Q53" s="1011"/>
      <c r="R53" s="1011"/>
      <c r="S53" s="1011"/>
      <c r="T53" s="1011"/>
      <c r="U53" s="1011"/>
      <c r="V53" s="1011"/>
      <c r="W53" s="1011"/>
      <c r="X53" s="1011"/>
      <c r="Y53" s="1011"/>
      <c r="Z53" s="1011"/>
    </row>
    <row r="54" spans="1:26">
      <c r="A54" s="65"/>
      <c r="B54" s="104"/>
      <c r="C54" s="1009"/>
      <c r="D54" s="1009"/>
      <c r="E54" s="1009"/>
      <c r="F54" s="1009"/>
      <c r="G54" s="1009"/>
      <c r="H54" s="1009"/>
      <c r="I54" s="1009"/>
      <c r="J54" s="1009"/>
      <c r="K54" s="1009"/>
      <c r="L54" s="1009"/>
      <c r="M54" s="1009"/>
      <c r="N54" s="67"/>
    </row>
    <row r="55" spans="1:26" ht="12.75" customHeight="1">
      <c r="A55" s="65"/>
      <c r="B55" s="104"/>
      <c r="C55" s="1001" t="s">
        <v>164</v>
      </c>
      <c r="D55" s="1001"/>
      <c r="E55" s="1001"/>
      <c r="F55" s="1001"/>
      <c r="G55" s="1001"/>
      <c r="H55" s="1001"/>
      <c r="I55" s="1001"/>
      <c r="J55" s="1001"/>
      <c r="K55" s="1001"/>
      <c r="L55" s="1001"/>
      <c r="M55" s="1001"/>
      <c r="N55" s="67"/>
    </row>
    <row r="56" spans="1:26">
      <c r="A56" s="65"/>
      <c r="B56" s="104"/>
      <c r="C56" s="1002"/>
      <c r="D56" s="1002"/>
      <c r="E56" s="1002"/>
      <c r="F56" s="1002"/>
      <c r="G56" s="1002"/>
      <c r="H56" s="1002"/>
      <c r="I56" s="1002"/>
      <c r="J56" s="1002"/>
      <c r="K56" s="1002"/>
      <c r="L56" s="1002"/>
      <c r="M56" s="1002"/>
      <c r="N56" s="67"/>
    </row>
    <row r="57" spans="1:26">
      <c r="A57" s="65"/>
      <c r="B57" s="104"/>
      <c r="C57" s="1002"/>
      <c r="D57" s="1002"/>
      <c r="E57" s="1002"/>
      <c r="F57" s="1002"/>
      <c r="G57" s="1002"/>
      <c r="H57" s="1002"/>
      <c r="I57" s="1002"/>
      <c r="J57" s="1002"/>
      <c r="K57" s="1002"/>
      <c r="L57" s="1002"/>
      <c r="M57" s="1002"/>
      <c r="N57" s="67"/>
    </row>
    <row r="58" spans="1:26">
      <c r="A58" s="65"/>
      <c r="B58" s="104"/>
      <c r="C58" s="258"/>
      <c r="D58" s="258"/>
      <c r="E58" s="258"/>
      <c r="F58" s="258"/>
      <c r="G58" s="258"/>
      <c r="H58" s="258"/>
      <c r="I58" s="258"/>
      <c r="J58" s="258"/>
      <c r="K58" s="258"/>
      <c r="L58" s="258"/>
      <c r="M58" s="258"/>
      <c r="N58" s="67"/>
    </row>
    <row r="59" spans="1:26">
      <c r="A59" s="65"/>
      <c r="B59" s="104"/>
      <c r="C59" s="258"/>
      <c r="D59" s="258"/>
      <c r="E59" s="258"/>
      <c r="F59" s="258"/>
      <c r="G59" s="258"/>
      <c r="H59" s="258"/>
      <c r="I59" s="258"/>
      <c r="J59" s="258"/>
      <c r="K59" s="258"/>
      <c r="L59" s="258"/>
      <c r="M59" s="258"/>
      <c r="N59" s="67"/>
    </row>
    <row r="60" spans="1:26">
      <c r="A60" s="65"/>
      <c r="B60" s="104"/>
      <c r="C60" s="105"/>
      <c r="D60" s="1003"/>
      <c r="E60" s="1003"/>
      <c r="F60" s="1003"/>
      <c r="G60" s="1003"/>
      <c r="H60" s="1003"/>
      <c r="I60" s="1003"/>
      <c r="J60" s="1003"/>
      <c r="K60" s="105"/>
      <c r="L60" s="1003"/>
      <c r="M60" s="1003"/>
      <c r="N60" s="67"/>
    </row>
    <row r="61" spans="1:26">
      <c r="A61" s="65"/>
      <c r="B61" s="104"/>
      <c r="C61" s="69"/>
      <c r="D61" s="1004" t="s">
        <v>165</v>
      </c>
      <c r="E61" s="1004"/>
      <c r="F61" s="1004"/>
      <c r="G61" s="1004"/>
      <c r="H61" s="1004"/>
      <c r="I61" s="1004"/>
      <c r="J61" s="1004"/>
      <c r="K61" s="69"/>
      <c r="L61" s="1004">
        <f>NOR!O33</f>
        <v>0</v>
      </c>
      <c r="M61" s="1004"/>
      <c r="N61" s="67"/>
    </row>
    <row r="62" spans="1:26">
      <c r="A62" s="65"/>
      <c r="B62" s="104"/>
      <c r="C62" s="1005" t="s">
        <v>166</v>
      </c>
      <c r="D62" s="1005"/>
      <c r="E62" s="1005"/>
      <c r="F62" s="1005"/>
      <c r="G62" s="1005"/>
      <c r="H62" s="1005"/>
      <c r="I62" s="1005"/>
      <c r="J62" s="1005"/>
      <c r="K62" s="1005"/>
      <c r="L62" s="1006" t="s">
        <v>144</v>
      </c>
      <c r="M62" s="1006"/>
      <c r="N62" s="67"/>
    </row>
    <row r="63" spans="1:26">
      <c r="A63" s="65"/>
      <c r="B63" s="104"/>
      <c r="C63" s="998"/>
      <c r="D63" s="998"/>
      <c r="E63" s="998"/>
      <c r="F63" s="998"/>
      <c r="G63" s="998"/>
      <c r="H63" s="998"/>
      <c r="I63" s="998"/>
      <c r="J63" s="998"/>
      <c r="K63" s="998"/>
      <c r="L63" s="69"/>
      <c r="M63" s="999"/>
      <c r="N63" s="1000"/>
    </row>
    <row r="64" spans="1:26" ht="13.5" thickBot="1">
      <c r="A64" s="65"/>
      <c r="B64" s="70"/>
      <c r="C64" s="71"/>
      <c r="D64" s="71"/>
      <c r="E64" s="71"/>
      <c r="F64" s="71"/>
      <c r="G64" s="71"/>
      <c r="H64" s="71"/>
      <c r="I64" s="71"/>
      <c r="J64" s="71"/>
      <c r="K64" s="71"/>
      <c r="L64" s="71"/>
      <c r="M64" s="71"/>
      <c r="N64" s="72"/>
    </row>
  </sheetData>
  <mergeCells count="45">
    <mergeCell ref="C62:K62"/>
    <mergeCell ref="L62:M62"/>
    <mergeCell ref="C63:K63"/>
    <mergeCell ref="M63:N63"/>
    <mergeCell ref="C54:M54"/>
    <mergeCell ref="C55:M57"/>
    <mergeCell ref="D60:J60"/>
    <mergeCell ref="L60:M60"/>
    <mergeCell ref="D61:J61"/>
    <mergeCell ref="L61:M61"/>
    <mergeCell ref="I41:M41"/>
    <mergeCell ref="I49:M49"/>
    <mergeCell ref="C52:M52"/>
    <mergeCell ref="P52:Z52"/>
    <mergeCell ref="C53:M53"/>
    <mergeCell ref="P53:Z53"/>
    <mergeCell ref="I37:M37"/>
    <mergeCell ref="G19:H19"/>
    <mergeCell ref="C20:D20"/>
    <mergeCell ref="E20:F20"/>
    <mergeCell ref="G20:H20"/>
    <mergeCell ref="E28:M28"/>
    <mergeCell ref="J29:M29"/>
    <mergeCell ref="I30:M30"/>
    <mergeCell ref="J32:M32"/>
    <mergeCell ref="I33:M33"/>
    <mergeCell ref="J34:M34"/>
    <mergeCell ref="I35:M35"/>
    <mergeCell ref="E8:G8"/>
    <mergeCell ref="J8:M8"/>
    <mergeCell ref="F9:G9"/>
    <mergeCell ref="J9:M9"/>
    <mergeCell ref="F10:I10"/>
    <mergeCell ref="C18:I18"/>
    <mergeCell ref="J18:J19"/>
    <mergeCell ref="K18:M18"/>
    <mergeCell ref="C19:D19"/>
    <mergeCell ref="E19:F19"/>
    <mergeCell ref="E7:G7"/>
    <mergeCell ref="J7:M7"/>
    <mergeCell ref="F2:K3"/>
    <mergeCell ref="E5:G5"/>
    <mergeCell ref="J5:M5"/>
    <mergeCell ref="E6:G6"/>
    <mergeCell ref="J6:M6"/>
  </mergeCells>
  <pageMargins left="0.25" right="0.25" top="0.75" bottom="0.75" header="0.3" footer="0.3"/>
  <pageSetup paperSize="9" scale="7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4">
    <tabColor rgb="FFFF0000"/>
  </sheetPr>
  <dimension ref="A1:AA57"/>
  <sheetViews>
    <sheetView workbookViewId="0"/>
  </sheetViews>
  <sheetFormatPr baseColWidth="10" defaultColWidth="9" defaultRowHeight="12.75"/>
  <cols>
    <col min="1" max="1" width="1.28515625" customWidth="1"/>
    <col min="2" max="2" width="1" customWidth="1"/>
    <col min="3" max="3" width="6.28515625" customWidth="1"/>
    <col min="4" max="4" width="3.28515625" customWidth="1"/>
    <col min="6" max="6" width="7.5703125" customWidth="1"/>
    <col min="8" max="8" width="8.7109375" customWidth="1"/>
    <col min="9" max="9" width="13.28515625" customWidth="1"/>
    <col min="10" max="10" width="7.5703125" customWidth="1"/>
    <col min="11" max="11" width="10.5703125" customWidth="1"/>
    <col min="12" max="12" width="11.5703125" customWidth="1"/>
    <col min="13" max="13" width="10" customWidth="1"/>
    <col min="14" max="14" width="1" customWidth="1"/>
  </cols>
  <sheetData>
    <row r="1" spans="1:14" ht="13.5" thickBot="1">
      <c r="A1" s="1"/>
      <c r="B1" s="1"/>
      <c r="C1" s="1"/>
      <c r="D1" s="1"/>
      <c r="E1" s="1"/>
      <c r="F1" s="1"/>
      <c r="G1" s="1"/>
      <c r="H1" s="1"/>
      <c r="I1" s="1"/>
      <c r="J1" s="1"/>
      <c r="K1" s="1"/>
      <c r="L1" s="1"/>
      <c r="M1" s="1"/>
      <c r="N1" s="1"/>
    </row>
    <row r="2" spans="1:14" ht="21">
      <c r="A2" s="1"/>
      <c r="B2" s="108"/>
      <c r="C2" s="4"/>
      <c r="D2" s="4"/>
      <c r="E2" s="109"/>
      <c r="F2" s="625" t="s">
        <v>145</v>
      </c>
      <c r="G2" s="625"/>
      <c r="H2" s="625"/>
      <c r="I2" s="625"/>
      <c r="J2" s="625"/>
      <c r="K2" s="625"/>
      <c r="L2" s="110" t="s">
        <v>146</v>
      </c>
      <c r="M2" s="1054" t="s">
        <v>2</v>
      </c>
      <c r="N2" s="1055"/>
    </row>
    <row r="3" spans="1:14" ht="17.25" customHeight="1" thickBot="1">
      <c r="A3" s="1"/>
      <c r="B3" s="10"/>
      <c r="C3" s="11"/>
      <c r="D3" s="11"/>
      <c r="E3" s="11"/>
      <c r="F3" s="626"/>
      <c r="G3" s="626"/>
      <c r="H3" s="626"/>
      <c r="I3" s="626"/>
      <c r="J3" s="626"/>
      <c r="K3" s="626"/>
      <c r="L3" s="111" t="s">
        <v>3</v>
      </c>
      <c r="M3" s="1056">
        <v>42917</v>
      </c>
      <c r="N3" s="1057"/>
    </row>
    <row r="4" spans="1:14">
      <c r="A4" s="1"/>
      <c r="B4" s="15"/>
      <c r="C4" s="16"/>
      <c r="D4" s="16"/>
      <c r="E4" s="16"/>
      <c r="F4" s="112"/>
      <c r="G4" s="112"/>
      <c r="H4" s="112"/>
      <c r="I4" s="112"/>
      <c r="J4" s="112"/>
      <c r="K4" s="112"/>
      <c r="L4" s="113"/>
      <c r="M4" s="114"/>
      <c r="N4" s="24"/>
    </row>
    <row r="5" spans="1:14" ht="15.75">
      <c r="A5" s="1"/>
      <c r="B5" s="22"/>
      <c r="C5" s="23" t="s">
        <v>147</v>
      </c>
      <c r="D5" s="23"/>
      <c r="E5" s="615" t="s">
        <v>6</v>
      </c>
      <c r="F5" s="615"/>
      <c r="G5" s="615"/>
      <c r="H5" s="23"/>
      <c r="I5" s="206" t="s">
        <v>4</v>
      </c>
      <c r="J5" s="1022" t="s">
        <v>95</v>
      </c>
      <c r="K5" s="1022"/>
      <c r="L5" s="1022"/>
      <c r="M5" s="1022"/>
      <c r="N5" s="24"/>
    </row>
    <row r="6" spans="1:14" ht="15.75">
      <c r="A6" s="1"/>
      <c r="B6" s="22"/>
      <c r="C6" s="23" t="s">
        <v>90</v>
      </c>
      <c r="D6" s="23"/>
      <c r="E6" s="1053">
        <f>'Data Entry'!B19</f>
        <v>0</v>
      </c>
      <c r="F6" s="1053"/>
      <c r="G6" s="1053"/>
      <c r="H6" s="23"/>
      <c r="I6" s="23"/>
      <c r="J6" s="1048" t="str">
        <f>NOR!B6</f>
        <v/>
      </c>
      <c r="K6" s="1048"/>
      <c r="L6" s="1048"/>
      <c r="M6" s="1048"/>
      <c r="N6" s="24"/>
    </row>
    <row r="7" spans="1:14" ht="15.75">
      <c r="A7" s="1"/>
      <c r="B7" s="22"/>
      <c r="C7" s="23" t="s">
        <v>25</v>
      </c>
      <c r="D7" s="23"/>
      <c r="E7" s="1047">
        <f ca="1">TODAY()</f>
        <v>46025</v>
      </c>
      <c r="F7" s="1047"/>
      <c r="G7" s="1047"/>
      <c r="H7" s="23"/>
      <c r="I7" s="23"/>
      <c r="J7" s="1022" t="s">
        <v>325</v>
      </c>
      <c r="K7" s="1022"/>
      <c r="L7" s="1022"/>
      <c r="M7" s="1022"/>
      <c r="N7" s="24"/>
    </row>
    <row r="8" spans="1:14" ht="15.75">
      <c r="A8" s="1"/>
      <c r="B8" s="22"/>
      <c r="C8" s="23" t="s">
        <v>98</v>
      </c>
      <c r="D8" s="23"/>
      <c r="E8" s="1024">
        <f>'Data Entry'!B11</f>
        <v>0</v>
      </c>
      <c r="F8" s="1024"/>
      <c r="G8" s="1024"/>
      <c r="H8" s="23"/>
      <c r="I8" s="23"/>
      <c r="J8" s="1048"/>
      <c r="K8" s="1048"/>
      <c r="L8" s="1048"/>
      <c r="M8" s="1048"/>
      <c r="N8" s="24"/>
    </row>
    <row r="9" spans="1:14" ht="15.75">
      <c r="A9" s="1"/>
      <c r="B9" s="22"/>
      <c r="C9" s="23" t="s">
        <v>148</v>
      </c>
      <c r="D9" s="23"/>
      <c r="E9" s="115"/>
      <c r="F9" s="1049" t="str">
        <f>NOR!P7</f>
        <v/>
      </c>
      <c r="G9" s="1049"/>
      <c r="H9" s="1049"/>
      <c r="I9" s="23"/>
      <c r="J9" s="1048"/>
      <c r="K9" s="1048"/>
      <c r="L9" s="1048"/>
      <c r="M9" s="1048"/>
      <c r="N9" s="24"/>
    </row>
    <row r="10" spans="1:14" ht="15.75">
      <c r="A10" s="1"/>
      <c r="B10" s="22"/>
      <c r="C10" s="23" t="s">
        <v>140</v>
      </c>
      <c r="D10" s="23"/>
      <c r="E10" s="115"/>
      <c r="F10" s="1049" t="s">
        <v>309</v>
      </c>
      <c r="G10" s="1049"/>
      <c r="H10" s="1049"/>
      <c r="I10" s="1049"/>
      <c r="J10" s="206"/>
      <c r="K10" s="206"/>
      <c r="L10" s="206"/>
      <c r="M10" s="206"/>
      <c r="N10" s="24"/>
    </row>
    <row r="11" spans="1:14" ht="15.75">
      <c r="A11" s="1"/>
      <c r="B11" s="15"/>
      <c r="C11" s="23"/>
      <c r="D11" s="23"/>
      <c r="E11" s="23"/>
      <c r="F11" s="23"/>
      <c r="G11" s="23"/>
      <c r="H11" s="23"/>
      <c r="I11" s="23"/>
      <c r="J11" s="23"/>
      <c r="K11" s="23"/>
      <c r="L11" s="25"/>
      <c r="M11" s="25"/>
      <c r="N11" s="24"/>
    </row>
    <row r="12" spans="1:14" ht="15.75">
      <c r="A12" s="1"/>
      <c r="B12" s="15"/>
      <c r="C12" s="26" t="s">
        <v>149</v>
      </c>
      <c r="D12" s="23"/>
      <c r="E12" s="23"/>
      <c r="F12" s="23"/>
      <c r="G12" s="23"/>
      <c r="H12" s="23"/>
      <c r="I12" s="23"/>
      <c r="J12" s="23"/>
      <c r="K12" s="23"/>
      <c r="L12" s="25"/>
      <c r="M12" s="25"/>
      <c r="N12" s="24"/>
    </row>
    <row r="13" spans="1:14" ht="12.75" customHeight="1">
      <c r="A13" s="1"/>
      <c r="B13" s="15"/>
      <c r="C13" s="26"/>
      <c r="D13" s="23"/>
      <c r="E13" s="23"/>
      <c r="F13" s="23"/>
      <c r="G13" s="23"/>
      <c r="H13" s="23"/>
      <c r="I13" s="23"/>
      <c r="J13" s="23"/>
      <c r="K13" s="23"/>
      <c r="L13" s="25"/>
      <c r="M13" s="25"/>
      <c r="N13" s="24"/>
    </row>
    <row r="14" spans="1:14" ht="13.5" customHeight="1">
      <c r="A14" s="1"/>
      <c r="B14" s="15"/>
      <c r="C14" s="25"/>
      <c r="D14" s="25"/>
      <c r="E14" s="25"/>
      <c r="F14" s="25"/>
      <c r="G14" s="25"/>
      <c r="H14" s="25"/>
      <c r="I14" s="26" t="s">
        <v>150</v>
      </c>
      <c r="J14" s="25"/>
      <c r="K14" s="25"/>
      <c r="L14" s="25"/>
      <c r="M14" s="25"/>
      <c r="N14" s="24"/>
    </row>
    <row r="15" spans="1:14" ht="24" customHeight="1">
      <c r="A15" s="1"/>
      <c r="B15" s="15"/>
      <c r="C15" s="227"/>
      <c r="D15" s="25"/>
      <c r="E15" s="1050" t="s">
        <v>265</v>
      </c>
      <c r="F15" s="1051"/>
      <c r="G15" s="1051"/>
      <c r="H15" s="1051"/>
      <c r="I15" s="1046"/>
      <c r="J15" s="1046"/>
      <c r="K15" s="1046"/>
      <c r="L15" s="1046"/>
      <c r="M15" s="1046"/>
      <c r="N15" s="24"/>
    </row>
    <row r="16" spans="1:14">
      <c r="A16" s="1"/>
      <c r="B16" s="15"/>
      <c r="C16" s="117"/>
      <c r="D16" s="25"/>
      <c r="E16" s="25"/>
      <c r="F16" s="25"/>
      <c r="G16" s="25"/>
      <c r="H16" s="25"/>
      <c r="I16" s="25"/>
      <c r="J16" s="25"/>
      <c r="K16" s="25"/>
      <c r="L16" s="25"/>
      <c r="M16" s="25"/>
      <c r="N16" s="24"/>
    </row>
    <row r="17" spans="1:14">
      <c r="A17" s="1"/>
      <c r="B17" s="15"/>
      <c r="C17" s="116"/>
      <c r="D17" s="25"/>
      <c r="E17" s="25" t="s">
        <v>151</v>
      </c>
      <c r="F17" s="25"/>
      <c r="G17" s="25"/>
      <c r="H17" s="25"/>
      <c r="I17" s="1052"/>
      <c r="J17" s="1052"/>
      <c r="K17" s="1052"/>
      <c r="L17" s="1052"/>
      <c r="M17" s="1052"/>
      <c r="N17" s="24"/>
    </row>
    <row r="18" spans="1:14">
      <c r="A18" s="1"/>
      <c r="B18" s="15"/>
      <c r="C18" s="117"/>
      <c r="D18" s="25"/>
      <c r="E18" s="25"/>
      <c r="F18" s="25"/>
      <c r="G18" s="25"/>
      <c r="H18" s="25"/>
      <c r="I18" s="25"/>
      <c r="J18" s="25"/>
      <c r="K18" s="25"/>
      <c r="L18" s="25"/>
      <c r="M18" s="25"/>
      <c r="N18" s="24"/>
    </row>
    <row r="19" spans="1:14" ht="12.75" customHeight="1">
      <c r="A19" s="1"/>
      <c r="B19" s="15"/>
      <c r="C19" s="116" t="s">
        <v>152</v>
      </c>
      <c r="D19" s="25"/>
      <c r="E19" s="25" t="s">
        <v>253</v>
      </c>
      <c r="F19" s="25"/>
      <c r="G19" s="25"/>
      <c r="H19" s="25"/>
      <c r="I19" s="1045" t="s">
        <v>326</v>
      </c>
      <c r="J19" s="1045"/>
      <c r="K19" s="1045"/>
      <c r="L19" s="1045"/>
      <c r="M19" s="1045"/>
      <c r="N19" s="24"/>
    </row>
    <row r="20" spans="1:14">
      <c r="A20" s="1"/>
      <c r="B20" s="15"/>
      <c r="C20" s="117"/>
      <c r="D20" s="25"/>
      <c r="E20" s="25" t="s">
        <v>337</v>
      </c>
      <c r="F20" s="25"/>
      <c r="G20" s="25"/>
      <c r="H20" s="25"/>
      <c r="I20" s="1046"/>
      <c r="J20" s="1046"/>
      <c r="K20" s="1046"/>
      <c r="L20" s="1046"/>
      <c r="M20" s="1046"/>
      <c r="N20" s="24"/>
    </row>
    <row r="21" spans="1:14" ht="12.75" customHeight="1">
      <c r="A21" s="1"/>
      <c r="B21" s="15"/>
      <c r="C21" s="117"/>
      <c r="D21" s="25"/>
      <c r="E21" s="25"/>
      <c r="F21" s="25"/>
      <c r="G21" s="25"/>
      <c r="H21" s="25"/>
      <c r="I21" s="25"/>
      <c r="J21" s="25"/>
      <c r="K21" s="25"/>
      <c r="L21" s="25"/>
      <c r="M21" s="25"/>
      <c r="N21" s="24"/>
    </row>
    <row r="22" spans="1:14">
      <c r="A22" s="1"/>
      <c r="B22" s="15"/>
      <c r="C22" s="116" t="s">
        <v>152</v>
      </c>
      <c r="D22" s="25"/>
      <c r="E22" s="25" t="s">
        <v>153</v>
      </c>
      <c r="F22" s="25"/>
      <c r="G22" s="25"/>
      <c r="H22" s="25"/>
      <c r="I22" s="25"/>
      <c r="J22" s="119"/>
      <c r="K22" s="25"/>
      <c r="L22" s="120"/>
      <c r="M22" s="120"/>
      <c r="N22" s="24"/>
    </row>
    <row r="23" spans="1:14">
      <c r="A23" s="1"/>
      <c r="B23" s="15"/>
      <c r="C23" s="117"/>
      <c r="D23" s="25"/>
      <c r="E23" s="118" t="s">
        <v>154</v>
      </c>
      <c r="F23" s="25"/>
      <c r="G23" s="121"/>
      <c r="H23" s="1042">
        <v>1</v>
      </c>
      <c r="I23" s="1042"/>
      <c r="J23" s="25"/>
      <c r="K23" s="122" t="s">
        <v>155</v>
      </c>
      <c r="L23" s="263" t="s">
        <v>327</v>
      </c>
      <c r="M23" s="120"/>
      <c r="N23" s="24"/>
    </row>
    <row r="24" spans="1:14">
      <c r="A24" s="1"/>
      <c r="B24" s="15"/>
      <c r="C24" s="117"/>
      <c r="D24" s="25"/>
      <c r="E24" s="25" t="s">
        <v>156</v>
      </c>
      <c r="F24" s="25"/>
      <c r="G24" s="121"/>
      <c r="H24" s="1042">
        <v>1</v>
      </c>
      <c r="I24" s="1042"/>
      <c r="J24" s="119"/>
      <c r="K24" s="122" t="s">
        <v>155</v>
      </c>
      <c r="L24" s="263" t="s">
        <v>157</v>
      </c>
      <c r="M24" s="25"/>
      <c r="N24" s="24"/>
    </row>
    <row r="25" spans="1:14" ht="9" customHeight="1">
      <c r="A25" s="1"/>
      <c r="B25" s="15"/>
      <c r="C25" s="117"/>
      <c r="D25" s="25"/>
      <c r="E25" s="25"/>
      <c r="F25" s="25"/>
      <c r="G25" s="25"/>
      <c r="H25" s="25"/>
      <c r="I25" s="25"/>
      <c r="J25" s="25"/>
      <c r="K25" s="25"/>
      <c r="L25" s="25"/>
      <c r="M25" s="25"/>
      <c r="N25" s="24"/>
    </row>
    <row r="26" spans="1:14">
      <c r="A26" s="1"/>
      <c r="B26" s="15"/>
      <c r="C26" s="116" t="s">
        <v>152</v>
      </c>
      <c r="D26" s="25"/>
      <c r="E26" s="25" t="s">
        <v>158</v>
      </c>
      <c r="F26" s="25"/>
      <c r="G26" s="25"/>
      <c r="H26" s="25"/>
      <c r="I26" s="197"/>
      <c r="J26" s="25"/>
      <c r="K26" s="25"/>
      <c r="L26" s="25"/>
      <c r="M26" s="25"/>
      <c r="N26" s="24"/>
    </row>
    <row r="27" spans="1:14" ht="13.5" customHeight="1">
      <c r="A27" s="1"/>
      <c r="B27" s="15"/>
      <c r="C27" s="117"/>
      <c r="D27" s="25"/>
      <c r="E27" s="25" t="s">
        <v>159</v>
      </c>
      <c r="F27" s="25"/>
      <c r="G27" s="25"/>
      <c r="H27" s="25"/>
      <c r="I27" s="261"/>
      <c r="J27" s="1043" t="s">
        <v>328</v>
      </c>
      <c r="K27" s="1043"/>
      <c r="L27" s="261"/>
      <c r="M27" s="261"/>
      <c r="N27" s="24"/>
    </row>
    <row r="28" spans="1:14" ht="13.5" customHeight="1">
      <c r="A28" s="1"/>
      <c r="B28" s="15"/>
      <c r="C28" s="117"/>
      <c r="D28" s="25"/>
      <c r="E28" s="25" t="s">
        <v>329</v>
      </c>
      <c r="F28" s="25"/>
      <c r="G28" s="25"/>
      <c r="H28" s="25"/>
      <c r="I28" s="261"/>
      <c r="J28" s="1044" t="s">
        <v>330</v>
      </c>
      <c r="K28" s="1044"/>
      <c r="L28" s="261"/>
      <c r="M28" s="261"/>
      <c r="N28" s="24"/>
    </row>
    <row r="29" spans="1:14" ht="10.5" customHeight="1">
      <c r="A29" s="1"/>
      <c r="B29" s="15"/>
      <c r="C29" s="117"/>
      <c r="D29" s="25"/>
      <c r="E29" s="25"/>
      <c r="F29" s="25"/>
      <c r="G29" s="25"/>
      <c r="H29" s="25"/>
      <c r="I29" s="25"/>
      <c r="J29" s="25"/>
      <c r="K29" s="25"/>
      <c r="L29" s="25"/>
      <c r="M29" s="25"/>
      <c r="N29" s="24"/>
    </row>
    <row r="30" spans="1:14" ht="12.75" customHeight="1">
      <c r="A30" s="1"/>
      <c r="B30" s="15"/>
      <c r="C30" s="116"/>
      <c r="D30" s="25"/>
      <c r="E30" s="25" t="s">
        <v>224</v>
      </c>
      <c r="F30" s="262"/>
      <c r="G30" s="262"/>
      <c r="H30" s="262"/>
      <c r="I30" s="25"/>
      <c r="J30" s="25"/>
      <c r="K30" s="25"/>
      <c r="L30" s="25"/>
      <c r="M30" s="25"/>
      <c r="N30" s="24"/>
    </row>
    <row r="31" spans="1:14">
      <c r="A31" s="1"/>
      <c r="B31" s="15"/>
      <c r="C31" s="123"/>
      <c r="D31" s="25"/>
      <c r="E31" s="25" t="s">
        <v>225</v>
      </c>
      <c r="F31" s="262"/>
      <c r="G31" s="262"/>
      <c r="H31" s="262"/>
      <c r="I31" s="25"/>
      <c r="J31" s="25"/>
      <c r="K31" s="25"/>
      <c r="L31" s="25"/>
      <c r="M31" s="25"/>
      <c r="N31" s="24"/>
    </row>
    <row r="32" spans="1:14" ht="5.25" customHeight="1">
      <c r="A32" s="1"/>
      <c r="B32" s="15"/>
      <c r="C32" s="117"/>
      <c r="D32" s="25"/>
      <c r="E32" s="25"/>
      <c r="F32" s="25"/>
      <c r="G32" s="25"/>
      <c r="H32" s="25"/>
      <c r="I32" s="25"/>
      <c r="J32" s="25"/>
      <c r="K32" s="25"/>
      <c r="L32" s="25"/>
      <c r="M32" s="25"/>
      <c r="N32" s="24"/>
    </row>
    <row r="33" spans="1:27" ht="11.25" customHeight="1">
      <c r="A33" s="1"/>
      <c r="B33" s="15"/>
      <c r="C33" s="117"/>
      <c r="D33" s="25"/>
      <c r="E33" s="25"/>
      <c r="F33" s="25"/>
      <c r="G33" s="25"/>
      <c r="H33" s="25"/>
      <c r="I33" s="1045" t="s">
        <v>348</v>
      </c>
      <c r="J33" s="1045"/>
      <c r="K33" s="1045"/>
      <c r="L33" s="1045"/>
      <c r="M33" s="1045"/>
      <c r="N33" s="24"/>
    </row>
    <row r="34" spans="1:27" ht="12.75" customHeight="1">
      <c r="A34" s="1"/>
      <c r="B34" s="15"/>
      <c r="C34" s="116" t="s">
        <v>152</v>
      </c>
      <c r="D34" s="25"/>
      <c r="E34" s="25" t="s">
        <v>160</v>
      </c>
      <c r="F34" s="25"/>
      <c r="G34" s="25"/>
      <c r="H34" s="25"/>
      <c r="I34" s="1046"/>
      <c r="J34" s="1046"/>
      <c r="K34" s="1046"/>
      <c r="L34" s="1046"/>
      <c r="M34" s="1046"/>
      <c r="N34" s="24"/>
    </row>
    <row r="35" spans="1:27">
      <c r="A35" s="1"/>
      <c r="B35" s="15"/>
      <c r="C35" s="124"/>
      <c r="D35" s="25"/>
      <c r="E35" s="25"/>
      <c r="F35" s="25"/>
      <c r="G35" s="25"/>
      <c r="H35" s="25"/>
      <c r="I35" s="118"/>
      <c r="J35" s="118"/>
      <c r="K35" s="118"/>
      <c r="L35" s="118"/>
      <c r="M35" s="118"/>
      <c r="N35" s="24"/>
    </row>
    <row r="36" spans="1:27">
      <c r="A36" s="1"/>
      <c r="B36" s="15"/>
      <c r="C36" s="116"/>
      <c r="D36" s="25"/>
      <c r="E36" s="25" t="s">
        <v>161</v>
      </c>
      <c r="F36" s="25"/>
      <c r="G36" s="25"/>
      <c r="H36" s="25"/>
      <c r="I36" s="25"/>
      <c r="J36" s="25"/>
      <c r="K36" s="25"/>
      <c r="L36" s="25"/>
      <c r="M36" s="25"/>
      <c r="N36" s="24"/>
    </row>
    <row r="37" spans="1:27" ht="18" customHeight="1">
      <c r="A37" s="1"/>
      <c r="B37" s="15"/>
      <c r="C37" s="1040"/>
      <c r="D37" s="1040"/>
      <c r="E37" s="1040"/>
      <c r="F37" s="1040"/>
      <c r="G37" s="1040"/>
      <c r="H37" s="1040"/>
      <c r="I37" s="1040"/>
      <c r="J37" s="1040"/>
      <c r="K37" s="1040"/>
      <c r="L37" s="1040"/>
      <c r="M37" s="1040"/>
      <c r="N37" s="24"/>
      <c r="Q37" s="1040" t="s">
        <v>331</v>
      </c>
      <c r="R37" s="1040"/>
      <c r="S37" s="1040"/>
      <c r="T37" s="1040"/>
      <c r="U37" s="1040"/>
      <c r="V37" s="1040"/>
      <c r="W37" s="1040"/>
      <c r="X37" s="1040"/>
      <c r="Y37" s="1040"/>
      <c r="Z37" s="1040"/>
      <c r="AA37" s="1040"/>
    </row>
    <row r="38" spans="1:27" ht="12.75" customHeight="1">
      <c r="A38" s="1"/>
      <c r="B38" s="15"/>
      <c r="C38" s="1040"/>
      <c r="D38" s="1040"/>
      <c r="E38" s="1040"/>
      <c r="F38" s="1040"/>
      <c r="G38" s="1040"/>
      <c r="H38" s="1040"/>
      <c r="I38" s="1040"/>
      <c r="J38" s="1040"/>
      <c r="K38" s="1040"/>
      <c r="L38" s="1040"/>
      <c r="M38" s="1040"/>
      <c r="N38" s="24"/>
      <c r="Q38" s="1040" t="s">
        <v>332</v>
      </c>
      <c r="R38" s="1040"/>
      <c r="S38" s="1040"/>
      <c r="T38" s="1040"/>
      <c r="U38" s="1040"/>
      <c r="V38" s="1040"/>
      <c r="W38" s="1040"/>
      <c r="X38" s="1040"/>
      <c r="Y38" s="1040"/>
      <c r="Z38" s="1040"/>
      <c r="AA38" s="1040"/>
    </row>
    <row r="39" spans="1:27" ht="12.75" customHeight="1">
      <c r="A39" s="1"/>
      <c r="B39" s="15"/>
      <c r="C39" s="1040"/>
      <c r="D39" s="1040"/>
      <c r="E39" s="1040"/>
      <c r="F39" s="1040"/>
      <c r="G39" s="1040"/>
      <c r="H39" s="1040"/>
      <c r="I39" s="1040"/>
      <c r="J39" s="1040"/>
      <c r="K39" s="1040"/>
      <c r="L39" s="1040"/>
      <c r="M39" s="1040"/>
      <c r="N39" s="24"/>
    </row>
    <row r="40" spans="1:27">
      <c r="A40" s="1"/>
      <c r="B40" s="15"/>
      <c r="C40" s="1040"/>
      <c r="D40" s="1040"/>
      <c r="E40" s="1040"/>
      <c r="F40" s="1040"/>
      <c r="G40" s="1040"/>
      <c r="H40" s="1040"/>
      <c r="I40" s="1040"/>
      <c r="J40" s="1040"/>
      <c r="K40" s="1040"/>
      <c r="L40" s="1040"/>
      <c r="M40" s="1040"/>
      <c r="N40" s="24"/>
    </row>
    <row r="41" spans="1:27">
      <c r="A41" s="1"/>
      <c r="B41" s="15"/>
      <c r="C41" s="1035"/>
      <c r="D41" s="1035"/>
      <c r="E41" s="1035"/>
      <c r="F41" s="1035"/>
      <c r="G41" s="1035"/>
      <c r="H41" s="1035"/>
      <c r="I41" s="1035"/>
      <c r="J41" s="1035"/>
      <c r="K41" s="1035"/>
      <c r="L41" s="1035"/>
      <c r="M41" s="1035"/>
      <c r="N41" s="24"/>
    </row>
    <row r="42" spans="1:27">
      <c r="A42" s="1"/>
      <c r="B42" s="15"/>
      <c r="C42" s="1040"/>
      <c r="D42" s="1040"/>
      <c r="E42" s="1040"/>
      <c r="F42" s="1040"/>
      <c r="G42" s="1040"/>
      <c r="H42" s="1040"/>
      <c r="I42" s="1040"/>
      <c r="J42" s="1040"/>
      <c r="K42" s="1040"/>
      <c r="L42" s="1040"/>
      <c r="M42" s="1040"/>
      <c r="N42" s="24"/>
    </row>
    <row r="43" spans="1:27">
      <c r="A43" s="1"/>
      <c r="B43" s="15"/>
      <c r="C43" s="1035"/>
      <c r="D43" s="1035"/>
      <c r="E43" s="1035"/>
      <c r="F43" s="1035"/>
      <c r="G43" s="1035"/>
      <c r="H43" s="1035"/>
      <c r="I43" s="1035"/>
      <c r="J43" s="1035"/>
      <c r="K43" s="1035"/>
      <c r="L43" s="1035"/>
      <c r="M43" s="1035"/>
      <c r="N43" s="24"/>
    </row>
    <row r="44" spans="1:27">
      <c r="A44" s="1"/>
      <c r="B44" s="15"/>
      <c r="C44" s="25"/>
      <c r="D44" s="25"/>
      <c r="E44" s="25"/>
      <c r="F44" s="25"/>
      <c r="G44" s="25"/>
      <c r="H44" s="25"/>
      <c r="I44" s="25"/>
      <c r="J44" s="25"/>
      <c r="K44" s="25"/>
      <c r="L44" s="25"/>
      <c r="M44" s="25"/>
      <c r="N44" s="24"/>
    </row>
    <row r="45" spans="1:27">
      <c r="A45" s="1"/>
      <c r="B45" s="15"/>
      <c r="C45" s="116"/>
      <c r="D45" s="25"/>
      <c r="E45" s="25" t="s">
        <v>162</v>
      </c>
      <c r="F45" s="25"/>
      <c r="G45" s="25"/>
      <c r="H45" s="25"/>
      <c r="I45" s="25"/>
      <c r="J45" s="25"/>
      <c r="K45" s="25"/>
      <c r="L45" s="25"/>
      <c r="M45" s="25"/>
      <c r="N45" s="24"/>
    </row>
    <row r="46" spans="1:27">
      <c r="A46" s="1"/>
      <c r="B46" s="15"/>
      <c r="C46" s="1035"/>
      <c r="D46" s="1035"/>
      <c r="E46" s="1035"/>
      <c r="F46" s="1035"/>
      <c r="G46" s="1035"/>
      <c r="H46" s="1035"/>
      <c r="I46" s="1035"/>
      <c r="J46" s="1035"/>
      <c r="K46" s="1035"/>
      <c r="L46" s="1035"/>
      <c r="M46" s="1035"/>
      <c r="N46" s="24"/>
    </row>
    <row r="47" spans="1:27">
      <c r="A47" s="1"/>
      <c r="B47" s="15"/>
      <c r="C47" s="1035"/>
      <c r="D47" s="1035"/>
      <c r="E47" s="1035"/>
      <c r="F47" s="1035"/>
      <c r="G47" s="1035"/>
      <c r="H47" s="1035"/>
      <c r="I47" s="1035"/>
      <c r="J47" s="1035"/>
      <c r="K47" s="1035"/>
      <c r="L47" s="1035"/>
      <c r="M47" s="1035"/>
      <c r="N47" s="24"/>
    </row>
    <row r="48" spans="1:27">
      <c r="A48" s="1"/>
      <c r="B48" s="15"/>
      <c r="C48" s="117"/>
      <c r="D48" s="25"/>
      <c r="E48" s="125"/>
      <c r="F48" s="25"/>
      <c r="G48" s="25"/>
      <c r="H48" s="25"/>
      <c r="I48" s="25"/>
      <c r="J48" s="25"/>
      <c r="K48" s="25"/>
      <c r="L48" s="25"/>
      <c r="M48" s="25"/>
      <c r="N48" s="24"/>
    </row>
    <row r="49" spans="1:14">
      <c r="A49" s="1"/>
      <c r="B49" s="15"/>
      <c r="C49" s="116"/>
      <c r="D49" s="25"/>
      <c r="E49" s="25" t="s">
        <v>163</v>
      </c>
      <c r="F49" s="25"/>
      <c r="G49" s="25"/>
      <c r="H49" s="25"/>
      <c r="I49" s="25"/>
      <c r="J49" s="25"/>
      <c r="K49" s="25"/>
      <c r="L49" s="25"/>
      <c r="M49" s="25"/>
      <c r="N49" s="24"/>
    </row>
    <row r="50" spans="1:14">
      <c r="A50" s="1"/>
      <c r="B50" s="15"/>
      <c r="C50" s="1035"/>
      <c r="D50" s="1035"/>
      <c r="E50" s="1035"/>
      <c r="F50" s="1035"/>
      <c r="G50" s="1035"/>
      <c r="H50" s="1035"/>
      <c r="I50" s="1035"/>
      <c r="J50" s="1035"/>
      <c r="K50" s="1035"/>
      <c r="L50" s="1035"/>
      <c r="M50" s="1035"/>
      <c r="N50" s="24"/>
    </row>
    <row r="51" spans="1:14">
      <c r="A51" s="1"/>
      <c r="B51" s="15"/>
      <c r="C51" s="1041"/>
      <c r="D51" s="1041"/>
      <c r="E51" s="1041"/>
      <c r="F51" s="1041"/>
      <c r="G51" s="1041"/>
      <c r="H51" s="1041"/>
      <c r="I51" s="1041"/>
      <c r="J51" s="1041"/>
      <c r="K51" s="1041"/>
      <c r="L51" s="1041"/>
      <c r="M51" s="1041"/>
      <c r="N51" s="24"/>
    </row>
    <row r="52" spans="1:14" ht="46.5" customHeight="1">
      <c r="A52" s="1"/>
      <c r="B52" s="15"/>
      <c r="C52" s="1041" t="s">
        <v>164</v>
      </c>
      <c r="D52" s="1041"/>
      <c r="E52" s="1041"/>
      <c r="F52" s="1041"/>
      <c r="G52" s="1041"/>
      <c r="H52" s="1041"/>
      <c r="I52" s="1041"/>
      <c r="J52" s="1041"/>
      <c r="K52" s="1041"/>
      <c r="L52" s="1041"/>
      <c r="M52" s="1041"/>
      <c r="N52" s="24"/>
    </row>
    <row r="53" spans="1:14">
      <c r="A53" s="1"/>
      <c r="B53" s="15"/>
      <c r="C53" s="25"/>
      <c r="D53" s="25"/>
      <c r="E53" s="25"/>
      <c r="F53" s="25"/>
      <c r="G53" s="25"/>
      <c r="H53" s="25"/>
      <c r="I53" s="25"/>
      <c r="J53" s="25"/>
      <c r="K53" s="25"/>
      <c r="L53" s="25"/>
      <c r="M53" s="25"/>
      <c r="N53" s="24"/>
    </row>
    <row r="54" spans="1:14">
      <c r="A54" s="1"/>
      <c r="B54" s="15"/>
      <c r="C54" s="25"/>
      <c r="D54" s="1042"/>
      <c r="E54" s="1042"/>
      <c r="F54" s="1042"/>
      <c r="G54" s="1042"/>
      <c r="H54" s="1042"/>
      <c r="I54" s="1042"/>
      <c r="J54" s="1042"/>
      <c r="K54" s="25"/>
      <c r="L54" s="1042"/>
      <c r="M54" s="1042"/>
      <c r="N54" s="24"/>
    </row>
    <row r="55" spans="1:14">
      <c r="A55" s="1"/>
      <c r="B55" s="15"/>
      <c r="C55" s="16"/>
      <c r="D55" s="1036" t="s">
        <v>165</v>
      </c>
      <c r="E55" s="1036"/>
      <c r="F55" s="1036"/>
      <c r="G55" s="1036"/>
      <c r="H55" s="1036"/>
      <c r="I55" s="1036"/>
      <c r="J55" s="1036"/>
      <c r="K55" s="16"/>
      <c r="L55" s="1037">
        <f>NOR!O33</f>
        <v>0</v>
      </c>
      <c r="M55" s="1037"/>
      <c r="N55" s="24"/>
    </row>
    <row r="56" spans="1:14">
      <c r="A56" s="1"/>
      <c r="B56" s="15"/>
      <c r="C56" s="1038" t="s">
        <v>166</v>
      </c>
      <c r="D56" s="1038"/>
      <c r="E56" s="1038"/>
      <c r="F56" s="1038"/>
      <c r="G56" s="1038"/>
      <c r="H56" s="1038"/>
      <c r="I56" s="1038"/>
      <c r="J56" s="1038"/>
      <c r="K56" s="1038"/>
      <c r="L56" s="1039" t="s">
        <v>144</v>
      </c>
      <c r="M56" s="1039"/>
      <c r="N56" s="24"/>
    </row>
    <row r="57" spans="1:14" ht="13.5" thickBot="1">
      <c r="A57" s="1"/>
      <c r="B57" s="36"/>
      <c r="C57" s="126"/>
      <c r="D57" s="126"/>
      <c r="E57" s="126"/>
      <c r="F57" s="126"/>
      <c r="G57" s="126"/>
      <c r="H57" s="126"/>
      <c r="I57" s="126"/>
      <c r="J57" s="126"/>
      <c r="K57" s="126"/>
      <c r="L57" s="126"/>
      <c r="M57" s="126"/>
      <c r="N57" s="38"/>
    </row>
  </sheetData>
  <sheetProtection formatCells="0"/>
  <mergeCells count="43">
    <mergeCell ref="E6:G6"/>
    <mergeCell ref="J6:M6"/>
    <mergeCell ref="F2:K3"/>
    <mergeCell ref="M2:N2"/>
    <mergeCell ref="M3:N3"/>
    <mergeCell ref="E5:G5"/>
    <mergeCell ref="J5:M5"/>
    <mergeCell ref="H23:I23"/>
    <mergeCell ref="E7:G7"/>
    <mergeCell ref="J7:M7"/>
    <mergeCell ref="E8:G8"/>
    <mergeCell ref="J8:M8"/>
    <mergeCell ref="F9:H9"/>
    <mergeCell ref="J9:M9"/>
    <mergeCell ref="F10:I10"/>
    <mergeCell ref="E15:H15"/>
    <mergeCell ref="I15:M15"/>
    <mergeCell ref="I17:M17"/>
    <mergeCell ref="I19:M20"/>
    <mergeCell ref="C43:M43"/>
    <mergeCell ref="C46:M46"/>
    <mergeCell ref="H24:I24"/>
    <mergeCell ref="J27:K27"/>
    <mergeCell ref="J28:K28"/>
    <mergeCell ref="I33:M34"/>
    <mergeCell ref="C37:M37"/>
    <mergeCell ref="C38:M38"/>
    <mergeCell ref="D55:J55"/>
    <mergeCell ref="L55:M55"/>
    <mergeCell ref="C56:K56"/>
    <mergeCell ref="L56:M56"/>
    <mergeCell ref="Q37:AA37"/>
    <mergeCell ref="Q38:AA38"/>
    <mergeCell ref="C47:M47"/>
    <mergeCell ref="C50:M50"/>
    <mergeCell ref="C51:M51"/>
    <mergeCell ref="C52:M52"/>
    <mergeCell ref="D54:J54"/>
    <mergeCell ref="L54:M54"/>
    <mergeCell ref="C39:M39"/>
    <mergeCell ref="C40:M40"/>
    <mergeCell ref="C41:M41"/>
    <mergeCell ref="C42:M42"/>
  </mergeCells>
  <pageMargins left="0.25" right="0.25" top="0.25" bottom="0.25" header="0.3" footer="0.3"/>
  <pageSetup paperSize="9" scale="95" fitToHeight="0"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5">
    <tabColor rgb="FF00B050"/>
  </sheetPr>
  <dimension ref="A1:Z57"/>
  <sheetViews>
    <sheetView workbookViewId="0"/>
  </sheetViews>
  <sheetFormatPr baseColWidth="10" defaultColWidth="9" defaultRowHeight="12.75"/>
  <cols>
    <col min="1" max="1" width="1.28515625" customWidth="1"/>
    <col min="2" max="2" width="1" customWidth="1"/>
    <col min="3" max="3" width="6.28515625" customWidth="1"/>
    <col min="4" max="4" width="3.28515625" customWidth="1"/>
    <col min="6" max="6" width="7.5703125" customWidth="1"/>
    <col min="8" max="8" width="8.7109375" customWidth="1"/>
    <col min="9" max="9" width="13.28515625" customWidth="1"/>
    <col min="10" max="10" width="7.5703125" customWidth="1"/>
    <col min="11" max="11" width="10.5703125" customWidth="1"/>
    <col min="12" max="12" width="11.5703125" customWidth="1"/>
    <col min="13" max="13" width="10" customWidth="1"/>
    <col min="14" max="14" width="1" customWidth="1"/>
  </cols>
  <sheetData>
    <row r="1" spans="1:14" ht="13.5" thickBot="1">
      <c r="A1" s="1"/>
      <c r="B1" s="1"/>
      <c r="C1" s="1"/>
      <c r="D1" s="1"/>
      <c r="E1" s="1"/>
      <c r="F1" s="1"/>
      <c r="G1" s="1"/>
      <c r="H1" s="1"/>
      <c r="I1" s="1"/>
      <c r="J1" s="1"/>
      <c r="K1" s="1"/>
      <c r="L1" s="1"/>
      <c r="M1" s="1"/>
      <c r="N1" s="1"/>
    </row>
    <row r="2" spans="1:14" ht="21">
      <c r="A2" s="1"/>
      <c r="B2" s="108"/>
      <c r="C2" s="4"/>
      <c r="D2" s="4"/>
      <c r="E2" s="109"/>
      <c r="F2" s="625" t="s">
        <v>145</v>
      </c>
      <c r="G2" s="625"/>
      <c r="H2" s="625"/>
      <c r="I2" s="625"/>
      <c r="J2" s="625"/>
      <c r="K2" s="625"/>
      <c r="L2" s="110" t="s">
        <v>146</v>
      </c>
      <c r="M2" s="1054" t="s">
        <v>2</v>
      </c>
      <c r="N2" s="1055"/>
    </row>
    <row r="3" spans="1:14" ht="17.25" customHeight="1" thickBot="1">
      <c r="A3" s="1"/>
      <c r="B3" s="10"/>
      <c r="C3" s="11"/>
      <c r="D3" s="11"/>
      <c r="E3" s="11"/>
      <c r="F3" s="626"/>
      <c r="G3" s="626"/>
      <c r="H3" s="626"/>
      <c r="I3" s="626"/>
      <c r="J3" s="626"/>
      <c r="K3" s="626"/>
      <c r="L3" s="111" t="s">
        <v>3</v>
      </c>
      <c r="M3" s="1056">
        <v>42917</v>
      </c>
      <c r="N3" s="1057"/>
    </row>
    <row r="4" spans="1:14">
      <c r="A4" s="1"/>
      <c r="B4" s="15"/>
      <c r="C4" s="16"/>
      <c r="D4" s="16"/>
      <c r="E4" s="16"/>
      <c r="F4" s="112"/>
      <c r="G4" s="112"/>
      <c r="H4" s="112"/>
      <c r="I4" s="112"/>
      <c r="J4" s="112"/>
      <c r="K4" s="112"/>
      <c r="L4" s="113"/>
      <c r="M4" s="114"/>
      <c r="N4" s="24"/>
    </row>
    <row r="5" spans="1:14" ht="15.75">
      <c r="A5" s="1"/>
      <c r="B5" s="22"/>
      <c r="C5" s="23" t="s">
        <v>147</v>
      </c>
      <c r="D5" s="23"/>
      <c r="E5" s="615" t="s">
        <v>6</v>
      </c>
      <c r="F5" s="615"/>
      <c r="G5" s="615"/>
      <c r="H5" s="23"/>
      <c r="I5" s="206" t="s">
        <v>4</v>
      </c>
      <c r="J5" s="1022" t="s">
        <v>95</v>
      </c>
      <c r="K5" s="1022"/>
      <c r="L5" s="1022"/>
      <c r="M5" s="1022"/>
      <c r="N5" s="24"/>
    </row>
    <row r="6" spans="1:14" ht="15.75">
      <c r="A6" s="1"/>
      <c r="B6" s="22"/>
      <c r="C6" s="23" t="s">
        <v>90</v>
      </c>
      <c r="D6" s="23"/>
      <c r="E6" s="1053">
        <f>'Data Entry'!B19</f>
        <v>0</v>
      </c>
      <c r="F6" s="1053"/>
      <c r="G6" s="1053"/>
      <c r="H6" s="23"/>
      <c r="I6" s="23"/>
      <c r="J6" s="1048" t="str">
        <f>NOR!B6</f>
        <v/>
      </c>
      <c r="K6" s="1048"/>
      <c r="L6" s="1048"/>
      <c r="M6" s="1048"/>
      <c r="N6" s="24"/>
    </row>
    <row r="7" spans="1:14" ht="15.75">
      <c r="A7" s="1"/>
      <c r="B7" s="22"/>
      <c r="C7" s="23" t="s">
        <v>25</v>
      </c>
      <c r="D7" s="23"/>
      <c r="E7" s="1047">
        <f ca="1">TODAY()</f>
        <v>46025</v>
      </c>
      <c r="F7" s="1047"/>
      <c r="G7" s="1047"/>
      <c r="H7" s="23"/>
      <c r="I7" s="23"/>
      <c r="J7" s="1022" t="s">
        <v>307</v>
      </c>
      <c r="K7" s="1022"/>
      <c r="L7" s="1022"/>
      <c r="M7" s="1022"/>
      <c r="N7" s="24"/>
    </row>
    <row r="8" spans="1:14" ht="15.75">
      <c r="A8" s="1"/>
      <c r="B8" s="22"/>
      <c r="C8" s="23" t="s">
        <v>98</v>
      </c>
      <c r="D8" s="23"/>
      <c r="E8" s="1024">
        <f>'Data Entry'!B11</f>
        <v>0</v>
      </c>
      <c r="F8" s="1024"/>
      <c r="G8" s="1024"/>
      <c r="H8" s="23"/>
      <c r="I8" s="23"/>
      <c r="J8" s="1048"/>
      <c r="K8" s="1048"/>
      <c r="L8" s="1048"/>
      <c r="M8" s="1048"/>
      <c r="N8" s="24"/>
    </row>
    <row r="9" spans="1:14" ht="15.75">
      <c r="A9" s="1"/>
      <c r="B9" s="22"/>
      <c r="C9" s="23" t="s">
        <v>148</v>
      </c>
      <c r="D9" s="23"/>
      <c r="E9" s="115"/>
      <c r="F9" s="1049" t="str">
        <f>NOR!P7</f>
        <v/>
      </c>
      <c r="G9" s="1049"/>
      <c r="H9" s="1049"/>
      <c r="I9" s="23"/>
      <c r="J9" s="1048"/>
      <c r="K9" s="1048"/>
      <c r="L9" s="1048"/>
      <c r="M9" s="1048"/>
      <c r="N9" s="24"/>
    </row>
    <row r="10" spans="1:14" ht="15.75">
      <c r="A10" s="1"/>
      <c r="B10" s="22"/>
      <c r="C10" s="23" t="s">
        <v>140</v>
      </c>
      <c r="D10" s="23"/>
      <c r="E10" s="115"/>
      <c r="F10" s="1049" t="s">
        <v>311</v>
      </c>
      <c r="G10" s="1049"/>
      <c r="H10" s="1049"/>
      <c r="I10" s="1049"/>
      <c r="J10" s="206"/>
      <c r="K10" s="206"/>
      <c r="L10" s="206"/>
      <c r="M10" s="206"/>
      <c r="N10" s="24"/>
    </row>
    <row r="11" spans="1:14" ht="15.75">
      <c r="A11" s="1"/>
      <c r="B11" s="15"/>
      <c r="C11" s="23"/>
      <c r="D11" s="23"/>
      <c r="E11" s="23"/>
      <c r="F11" s="23"/>
      <c r="G11" s="23"/>
      <c r="H11" s="23"/>
      <c r="I11" s="23"/>
      <c r="J11" s="23"/>
      <c r="K11" s="23"/>
      <c r="L11" s="25"/>
      <c r="M11" s="25"/>
      <c r="N11" s="24"/>
    </row>
    <row r="12" spans="1:14" ht="15.75">
      <c r="A12" s="1"/>
      <c r="B12" s="15"/>
      <c r="C12" s="26" t="s">
        <v>149</v>
      </c>
      <c r="D12" s="23"/>
      <c r="E12" s="23"/>
      <c r="F12" s="23"/>
      <c r="G12" s="23"/>
      <c r="H12" s="23"/>
      <c r="I12" s="23"/>
      <c r="J12" s="23"/>
      <c r="K12" s="23"/>
      <c r="L12" s="25"/>
      <c r="M12" s="25"/>
      <c r="N12" s="24"/>
    </row>
    <row r="13" spans="1:14" ht="12.75" customHeight="1">
      <c r="A13" s="1"/>
      <c r="B13" s="15"/>
      <c r="C13" s="26"/>
      <c r="D13" s="23"/>
      <c r="E13" s="23"/>
      <c r="F13" s="23"/>
      <c r="G13" s="23"/>
      <c r="H13" s="23"/>
      <c r="I13" s="23"/>
      <c r="J13" s="23"/>
      <c r="K13" s="23"/>
      <c r="L13" s="25"/>
      <c r="M13" s="25"/>
      <c r="N13" s="24"/>
    </row>
    <row r="14" spans="1:14" ht="13.5" customHeight="1">
      <c r="A14" s="1"/>
      <c r="B14" s="15"/>
      <c r="C14" s="25"/>
      <c r="D14" s="25"/>
      <c r="E14" s="25"/>
      <c r="F14" s="25"/>
      <c r="G14" s="25"/>
      <c r="H14" s="25"/>
      <c r="I14" s="26" t="s">
        <v>150</v>
      </c>
      <c r="J14" s="25"/>
      <c r="K14" s="25"/>
      <c r="L14" s="25"/>
      <c r="M14" s="25"/>
      <c r="N14" s="24"/>
    </row>
    <row r="15" spans="1:14" ht="24" customHeight="1">
      <c r="A15" s="1"/>
      <c r="B15" s="15"/>
      <c r="C15" s="227"/>
      <c r="D15" s="25"/>
      <c r="E15" s="1050" t="s">
        <v>265</v>
      </c>
      <c r="F15" s="1051"/>
      <c r="G15" s="1051"/>
      <c r="H15" s="1051"/>
      <c r="I15" s="1046"/>
      <c r="J15" s="1046"/>
      <c r="K15" s="1046"/>
      <c r="L15" s="1046"/>
      <c r="M15" s="1046"/>
      <c r="N15" s="24"/>
    </row>
    <row r="16" spans="1:14">
      <c r="A16" s="1"/>
      <c r="B16" s="15"/>
      <c r="C16" s="117"/>
      <c r="D16" s="25"/>
      <c r="E16" s="25"/>
      <c r="F16" s="25"/>
      <c r="G16" s="25"/>
      <c r="H16" s="25"/>
      <c r="I16" s="25"/>
      <c r="J16" s="25"/>
      <c r="K16" s="25"/>
      <c r="L16" s="25"/>
      <c r="M16" s="25"/>
      <c r="N16" s="24"/>
    </row>
    <row r="17" spans="1:14">
      <c r="A17" s="1"/>
      <c r="B17" s="15"/>
      <c r="C17" s="116"/>
      <c r="D17" s="25"/>
      <c r="E17" s="25" t="s">
        <v>151</v>
      </c>
      <c r="F17" s="25"/>
      <c r="G17" s="25"/>
      <c r="H17" s="25"/>
      <c r="I17" s="1052"/>
      <c r="J17" s="1052"/>
      <c r="K17" s="1052"/>
      <c r="L17" s="1052"/>
      <c r="M17" s="1052"/>
      <c r="N17" s="24"/>
    </row>
    <row r="18" spans="1:14">
      <c r="A18" s="1"/>
      <c r="B18" s="15"/>
      <c r="C18" s="117"/>
      <c r="D18" s="25"/>
      <c r="E18" s="25"/>
      <c r="F18" s="25"/>
      <c r="G18" s="25"/>
      <c r="H18" s="25"/>
      <c r="I18" s="25"/>
      <c r="J18" s="25"/>
      <c r="K18" s="25"/>
      <c r="L18" s="25"/>
      <c r="M18" s="25"/>
      <c r="N18" s="24"/>
    </row>
    <row r="19" spans="1:14" ht="12.75" customHeight="1">
      <c r="A19" s="1"/>
      <c r="B19" s="15"/>
      <c r="C19" s="116" t="s">
        <v>152</v>
      </c>
      <c r="D19" s="25"/>
      <c r="E19" s="25" t="s">
        <v>253</v>
      </c>
      <c r="F19" s="25"/>
      <c r="G19" s="25"/>
      <c r="H19" s="25"/>
      <c r="I19" s="1045" t="s">
        <v>344</v>
      </c>
      <c r="J19" s="1045"/>
      <c r="K19" s="1045"/>
      <c r="L19" s="1045"/>
      <c r="M19" s="1045"/>
      <c r="N19" s="24"/>
    </row>
    <row r="20" spans="1:14">
      <c r="A20" s="1"/>
      <c r="B20" s="15"/>
      <c r="C20" s="117"/>
      <c r="D20" s="25"/>
      <c r="E20" s="25" t="s">
        <v>337</v>
      </c>
      <c r="F20" s="25"/>
      <c r="G20" s="25"/>
      <c r="H20" s="25"/>
      <c r="I20" s="1046"/>
      <c r="J20" s="1046"/>
      <c r="K20" s="1046"/>
      <c r="L20" s="1046"/>
      <c r="M20" s="1046"/>
      <c r="N20" s="24"/>
    </row>
    <row r="21" spans="1:14" ht="12.75" customHeight="1">
      <c r="A21" s="1"/>
      <c r="B21" s="15"/>
      <c r="C21" s="117"/>
      <c r="D21" s="25"/>
      <c r="E21" s="25"/>
      <c r="F21" s="25"/>
      <c r="G21" s="25"/>
      <c r="H21" s="25"/>
      <c r="I21" s="25"/>
      <c r="J21" s="25"/>
      <c r="K21" s="25"/>
      <c r="L21" s="25"/>
      <c r="M21" s="25"/>
      <c r="N21" s="24"/>
    </row>
    <row r="22" spans="1:14">
      <c r="A22" s="1"/>
      <c r="B22" s="15"/>
      <c r="C22" s="116" t="s">
        <v>152</v>
      </c>
      <c r="D22" s="25"/>
      <c r="E22" s="25" t="s">
        <v>153</v>
      </c>
      <c r="F22" s="25"/>
      <c r="G22" s="25"/>
      <c r="H22" s="25"/>
      <c r="I22" s="25"/>
      <c r="J22" s="119"/>
      <c r="K22" s="25"/>
      <c r="L22" s="120"/>
      <c r="M22" s="120"/>
      <c r="N22" s="24"/>
    </row>
    <row r="23" spans="1:14">
      <c r="A23" s="1"/>
      <c r="B23" s="15"/>
      <c r="C23" s="117"/>
      <c r="D23" s="25"/>
      <c r="E23" s="118" t="s">
        <v>154</v>
      </c>
      <c r="F23" s="25"/>
      <c r="G23" s="121"/>
      <c r="H23" s="1042">
        <v>1</v>
      </c>
      <c r="I23" s="1042"/>
      <c r="J23" s="25"/>
      <c r="K23" s="122" t="s">
        <v>155</v>
      </c>
      <c r="L23" s="263" t="s">
        <v>327</v>
      </c>
      <c r="M23" s="120"/>
      <c r="N23" s="24"/>
    </row>
    <row r="24" spans="1:14">
      <c r="A24" s="1"/>
      <c r="B24" s="15"/>
      <c r="C24" s="117"/>
      <c r="D24" s="25"/>
      <c r="E24" s="25" t="s">
        <v>156</v>
      </c>
      <c r="F24" s="25"/>
      <c r="G24" s="121"/>
      <c r="H24" s="1042">
        <v>1</v>
      </c>
      <c r="I24" s="1042"/>
      <c r="J24" s="119"/>
      <c r="K24" s="122" t="s">
        <v>155</v>
      </c>
      <c r="L24" s="263" t="s">
        <v>157</v>
      </c>
      <c r="M24" s="25"/>
      <c r="N24" s="24"/>
    </row>
    <row r="25" spans="1:14" ht="9" customHeight="1">
      <c r="A25" s="1"/>
      <c r="B25" s="15"/>
      <c r="C25" s="117"/>
      <c r="D25" s="25"/>
      <c r="E25" s="25"/>
      <c r="F25" s="25"/>
      <c r="G25" s="25"/>
      <c r="H25" s="25"/>
      <c r="I25" s="25"/>
      <c r="J25" s="25"/>
      <c r="K25" s="25"/>
      <c r="L25" s="25"/>
      <c r="M25" s="25"/>
      <c r="N25" s="24"/>
    </row>
    <row r="26" spans="1:14">
      <c r="A26" s="1"/>
      <c r="B26" s="15"/>
      <c r="C26" s="116" t="s">
        <v>152</v>
      </c>
      <c r="D26" s="25"/>
      <c r="E26" s="25" t="s">
        <v>158</v>
      </c>
      <c r="F26" s="25"/>
      <c r="G26" s="25"/>
      <c r="H26" s="25"/>
      <c r="I26" s="197"/>
      <c r="J26" s="25"/>
      <c r="K26" s="25"/>
      <c r="L26" s="25"/>
      <c r="M26" s="25"/>
      <c r="N26" s="24"/>
    </row>
    <row r="27" spans="1:14" ht="13.5" customHeight="1">
      <c r="A27" s="1"/>
      <c r="B27" s="15"/>
      <c r="C27" s="117"/>
      <c r="D27" s="25"/>
      <c r="E27" s="25" t="s">
        <v>159</v>
      </c>
      <c r="F27" s="25"/>
      <c r="G27" s="25"/>
      <c r="H27" s="25"/>
      <c r="I27" s="261"/>
      <c r="J27" s="1043" t="s">
        <v>345</v>
      </c>
      <c r="K27" s="1043"/>
      <c r="L27" s="261"/>
      <c r="M27" s="261"/>
      <c r="N27" s="24"/>
    </row>
    <row r="28" spans="1:14" ht="13.5" customHeight="1">
      <c r="A28" s="1"/>
      <c r="B28" s="15"/>
      <c r="C28" s="117"/>
      <c r="D28" s="25"/>
      <c r="E28" s="25" t="s">
        <v>329</v>
      </c>
      <c r="F28" s="25"/>
      <c r="G28" s="25"/>
      <c r="H28" s="25"/>
      <c r="I28" s="261"/>
      <c r="J28" s="1043" t="s">
        <v>346</v>
      </c>
      <c r="K28" s="1043"/>
      <c r="L28" s="261"/>
      <c r="M28" s="261"/>
      <c r="N28" s="24"/>
    </row>
    <row r="29" spans="1:14" ht="10.5" customHeight="1">
      <c r="A29" s="1"/>
      <c r="B29" s="15"/>
      <c r="C29" s="117"/>
      <c r="D29" s="25"/>
      <c r="E29" s="25"/>
      <c r="F29" s="25"/>
      <c r="G29" s="25"/>
      <c r="H29" s="25"/>
      <c r="I29" s="25"/>
      <c r="J29" s="25"/>
      <c r="K29" s="25"/>
      <c r="L29" s="25"/>
      <c r="M29" s="25"/>
      <c r="N29" s="24"/>
    </row>
    <row r="30" spans="1:14" ht="12.75" customHeight="1">
      <c r="A30" s="1"/>
      <c r="B30" s="15"/>
      <c r="C30" s="116"/>
      <c r="D30" s="25"/>
      <c r="E30" s="25" t="s">
        <v>224</v>
      </c>
      <c r="F30" s="262"/>
      <c r="G30" s="262"/>
      <c r="H30" s="262"/>
      <c r="I30" s="25"/>
      <c r="J30" s="25"/>
      <c r="K30" s="25"/>
      <c r="L30" s="25"/>
      <c r="M30" s="25"/>
      <c r="N30" s="24"/>
    </row>
    <row r="31" spans="1:14">
      <c r="A31" s="1"/>
      <c r="B31" s="15"/>
      <c r="C31" s="123"/>
      <c r="D31" s="25"/>
      <c r="E31" s="25" t="s">
        <v>225</v>
      </c>
      <c r="F31" s="262"/>
      <c r="G31" s="262"/>
      <c r="H31" s="262"/>
      <c r="I31" s="25"/>
      <c r="J31" s="25"/>
      <c r="K31" s="25"/>
      <c r="L31" s="25"/>
      <c r="M31" s="25"/>
      <c r="N31" s="24"/>
    </row>
    <row r="32" spans="1:14" ht="5.25" customHeight="1">
      <c r="A32" s="1"/>
      <c r="B32" s="15"/>
      <c r="C32" s="117"/>
      <c r="D32" s="25"/>
      <c r="E32" s="25"/>
      <c r="F32" s="25"/>
      <c r="G32" s="25"/>
      <c r="H32" s="25"/>
      <c r="I32" s="25"/>
      <c r="J32" s="25"/>
      <c r="K32" s="25"/>
      <c r="L32" s="25"/>
      <c r="M32" s="25"/>
      <c r="N32" s="24"/>
    </row>
    <row r="33" spans="1:26" ht="11.25" customHeight="1">
      <c r="A33" s="1"/>
      <c r="B33" s="15"/>
      <c r="C33" s="117"/>
      <c r="D33" s="25"/>
      <c r="E33" s="25"/>
      <c r="F33" s="25"/>
      <c r="G33" s="25"/>
      <c r="H33" s="25"/>
      <c r="I33" s="1045" t="s">
        <v>348</v>
      </c>
      <c r="J33" s="1045"/>
      <c r="K33" s="1045"/>
      <c r="L33" s="1045"/>
      <c r="M33" s="1045"/>
      <c r="N33" s="24"/>
    </row>
    <row r="34" spans="1:26" ht="12.75" customHeight="1">
      <c r="A34" s="1"/>
      <c r="B34" s="15"/>
      <c r="C34" s="116"/>
      <c r="D34" s="25"/>
      <c r="E34" s="25" t="s">
        <v>160</v>
      </c>
      <c r="F34" s="25"/>
      <c r="G34" s="25"/>
      <c r="H34" s="25"/>
      <c r="I34" s="1046"/>
      <c r="J34" s="1046"/>
      <c r="K34" s="1046"/>
      <c r="L34" s="1046"/>
      <c r="M34" s="1046"/>
      <c r="N34" s="24"/>
    </row>
    <row r="35" spans="1:26">
      <c r="A35" s="1"/>
      <c r="B35" s="15"/>
      <c r="C35" s="124"/>
      <c r="D35" s="25"/>
      <c r="E35" s="25"/>
      <c r="F35" s="25"/>
      <c r="G35" s="25"/>
      <c r="H35" s="25"/>
      <c r="I35" s="118"/>
      <c r="J35" s="118"/>
      <c r="K35" s="118"/>
      <c r="L35" s="118"/>
      <c r="M35" s="118"/>
      <c r="N35" s="24"/>
    </row>
    <row r="36" spans="1:26">
      <c r="A36" s="1"/>
      <c r="B36" s="15"/>
      <c r="C36" s="116" t="s">
        <v>152</v>
      </c>
      <c r="D36" s="25"/>
      <c r="E36" s="25" t="s">
        <v>161</v>
      </c>
      <c r="F36" s="25"/>
      <c r="G36" s="25"/>
      <c r="H36" s="25"/>
      <c r="I36" s="25"/>
      <c r="J36" s="25"/>
      <c r="K36" s="25"/>
      <c r="L36" s="25"/>
      <c r="M36" s="25"/>
      <c r="N36" s="24"/>
    </row>
    <row r="37" spans="1:26" ht="18" customHeight="1">
      <c r="A37" s="1"/>
      <c r="B37" s="15"/>
      <c r="C37" s="1040"/>
      <c r="D37" s="1040"/>
      <c r="E37" s="1040"/>
      <c r="F37" s="1040"/>
      <c r="G37" s="1040"/>
      <c r="H37" s="1040"/>
      <c r="I37" s="1040"/>
      <c r="J37" s="1040"/>
      <c r="K37" s="1040"/>
      <c r="L37" s="1040"/>
      <c r="M37" s="1040"/>
      <c r="N37" s="24"/>
      <c r="P37" s="1040" t="s">
        <v>347</v>
      </c>
      <c r="Q37" s="1040"/>
      <c r="R37" s="1040"/>
      <c r="S37" s="1040"/>
      <c r="T37" s="1040"/>
      <c r="U37" s="1040"/>
      <c r="V37" s="1040"/>
      <c r="W37" s="1040"/>
      <c r="X37" s="1040"/>
      <c r="Y37" s="1040"/>
      <c r="Z37" s="1040"/>
    </row>
    <row r="38" spans="1:26" ht="12.75" customHeight="1">
      <c r="A38" s="1"/>
      <c r="B38" s="15"/>
      <c r="C38" s="1040"/>
      <c r="D38" s="1040"/>
      <c r="E38" s="1040"/>
      <c r="F38" s="1040"/>
      <c r="G38" s="1040"/>
      <c r="H38" s="1040"/>
      <c r="I38" s="1040"/>
      <c r="J38" s="1040"/>
      <c r="K38" s="1040"/>
      <c r="L38" s="1040"/>
      <c r="M38" s="1040"/>
      <c r="N38" s="24"/>
      <c r="P38" s="1040" t="s">
        <v>332</v>
      </c>
      <c r="Q38" s="1040"/>
      <c r="R38" s="1040"/>
      <c r="S38" s="1040"/>
      <c r="T38" s="1040"/>
      <c r="U38" s="1040"/>
      <c r="V38" s="1040"/>
      <c r="W38" s="1040"/>
      <c r="X38" s="1040"/>
      <c r="Y38" s="1040"/>
      <c r="Z38" s="1040"/>
    </row>
    <row r="39" spans="1:26" ht="12.75" customHeight="1">
      <c r="A39" s="1"/>
      <c r="B39" s="15"/>
      <c r="C39" s="1040"/>
      <c r="D39" s="1040"/>
      <c r="E39" s="1040"/>
      <c r="F39" s="1040"/>
      <c r="G39" s="1040"/>
      <c r="H39" s="1040"/>
      <c r="I39" s="1040"/>
      <c r="J39" s="1040"/>
      <c r="K39" s="1040"/>
      <c r="L39" s="1040"/>
      <c r="M39" s="1040"/>
      <c r="N39" s="24"/>
    </row>
    <row r="40" spans="1:26">
      <c r="A40" s="1"/>
      <c r="B40" s="15"/>
      <c r="C40" s="1040"/>
      <c r="D40" s="1040"/>
      <c r="E40" s="1040"/>
      <c r="F40" s="1040"/>
      <c r="G40" s="1040"/>
      <c r="H40" s="1040"/>
      <c r="I40" s="1040"/>
      <c r="J40" s="1040"/>
      <c r="K40" s="1040"/>
      <c r="L40" s="1040"/>
      <c r="M40" s="1040"/>
      <c r="N40" s="24"/>
    </row>
    <row r="41" spans="1:26">
      <c r="A41" s="1"/>
      <c r="B41" s="15"/>
      <c r="C41" s="1035"/>
      <c r="D41" s="1035"/>
      <c r="E41" s="1035"/>
      <c r="F41" s="1035"/>
      <c r="G41" s="1035"/>
      <c r="H41" s="1035"/>
      <c r="I41" s="1035"/>
      <c r="J41" s="1035"/>
      <c r="K41" s="1035"/>
      <c r="L41" s="1035"/>
      <c r="M41" s="1035"/>
      <c r="N41" s="24"/>
    </row>
    <row r="42" spans="1:26">
      <c r="A42" s="1"/>
      <c r="B42" s="15"/>
      <c r="C42" s="1040"/>
      <c r="D42" s="1040"/>
      <c r="E42" s="1040"/>
      <c r="F42" s="1040"/>
      <c r="G42" s="1040"/>
      <c r="H42" s="1040"/>
      <c r="I42" s="1040"/>
      <c r="J42" s="1040"/>
      <c r="K42" s="1040"/>
      <c r="L42" s="1040"/>
      <c r="M42" s="1040"/>
      <c r="N42" s="24"/>
    </row>
    <row r="43" spans="1:26">
      <c r="A43" s="1"/>
      <c r="B43" s="15"/>
      <c r="C43" s="1035"/>
      <c r="D43" s="1035"/>
      <c r="E43" s="1035"/>
      <c r="F43" s="1035"/>
      <c r="G43" s="1035"/>
      <c r="H43" s="1035"/>
      <c r="I43" s="1035"/>
      <c r="J43" s="1035"/>
      <c r="K43" s="1035"/>
      <c r="L43" s="1035"/>
      <c r="M43" s="1035"/>
      <c r="N43" s="24"/>
    </row>
    <row r="44" spans="1:26">
      <c r="A44" s="1"/>
      <c r="B44" s="15"/>
      <c r="C44" s="25"/>
      <c r="D44" s="25"/>
      <c r="E44" s="25"/>
      <c r="F44" s="25"/>
      <c r="G44" s="25"/>
      <c r="H44" s="25"/>
      <c r="I44" s="25"/>
      <c r="J44" s="25"/>
      <c r="K44" s="25"/>
      <c r="L44" s="25"/>
      <c r="M44" s="25"/>
      <c r="N44" s="24"/>
    </row>
    <row r="45" spans="1:26">
      <c r="A45" s="1"/>
      <c r="B45" s="15"/>
      <c r="C45" s="116"/>
      <c r="D45" s="25"/>
      <c r="E45" s="25" t="s">
        <v>162</v>
      </c>
      <c r="F45" s="25"/>
      <c r="G45" s="25"/>
      <c r="H45" s="25"/>
      <c r="I45" s="25"/>
      <c r="J45" s="25"/>
      <c r="K45" s="25"/>
      <c r="L45" s="25"/>
      <c r="M45" s="25"/>
      <c r="N45" s="24"/>
    </row>
    <row r="46" spans="1:26">
      <c r="A46" s="1"/>
      <c r="B46" s="15"/>
      <c r="C46" s="1035"/>
      <c r="D46" s="1035"/>
      <c r="E46" s="1035"/>
      <c r="F46" s="1035"/>
      <c r="G46" s="1035"/>
      <c r="H46" s="1035"/>
      <c r="I46" s="1035"/>
      <c r="J46" s="1035"/>
      <c r="K46" s="1035"/>
      <c r="L46" s="1035"/>
      <c r="M46" s="1035"/>
      <c r="N46" s="24"/>
    </row>
    <row r="47" spans="1:26">
      <c r="A47" s="1"/>
      <c r="B47" s="15"/>
      <c r="C47" s="1035"/>
      <c r="D47" s="1035"/>
      <c r="E47" s="1035"/>
      <c r="F47" s="1035"/>
      <c r="G47" s="1035"/>
      <c r="H47" s="1035"/>
      <c r="I47" s="1035"/>
      <c r="J47" s="1035"/>
      <c r="K47" s="1035"/>
      <c r="L47" s="1035"/>
      <c r="M47" s="1035"/>
      <c r="N47" s="24"/>
    </row>
    <row r="48" spans="1:26">
      <c r="A48" s="1"/>
      <c r="B48" s="15"/>
      <c r="C48" s="117"/>
      <c r="D48" s="25"/>
      <c r="E48" s="125"/>
      <c r="F48" s="25"/>
      <c r="G48" s="25"/>
      <c r="H48" s="25"/>
      <c r="I48" s="25"/>
      <c r="J48" s="25"/>
      <c r="K48" s="25"/>
      <c r="L48" s="25"/>
      <c r="M48" s="25"/>
      <c r="N48" s="24"/>
    </row>
    <row r="49" spans="1:14">
      <c r="A49" s="1"/>
      <c r="B49" s="15"/>
      <c r="C49" s="116"/>
      <c r="D49" s="25"/>
      <c r="E49" s="25" t="s">
        <v>163</v>
      </c>
      <c r="F49" s="25"/>
      <c r="G49" s="25"/>
      <c r="H49" s="25"/>
      <c r="I49" s="25"/>
      <c r="J49" s="25"/>
      <c r="K49" s="25"/>
      <c r="L49" s="25"/>
      <c r="M49" s="25"/>
      <c r="N49" s="24"/>
    </row>
    <row r="50" spans="1:14">
      <c r="A50" s="1"/>
      <c r="B50" s="15"/>
      <c r="C50" s="1035"/>
      <c r="D50" s="1035"/>
      <c r="E50" s="1035"/>
      <c r="F50" s="1035"/>
      <c r="G50" s="1035"/>
      <c r="H50" s="1035"/>
      <c r="I50" s="1035"/>
      <c r="J50" s="1035"/>
      <c r="K50" s="1035"/>
      <c r="L50" s="1035"/>
      <c r="M50" s="1035"/>
      <c r="N50" s="24"/>
    </row>
    <row r="51" spans="1:14">
      <c r="A51" s="1"/>
      <c r="B51" s="15"/>
      <c r="C51" s="1041"/>
      <c r="D51" s="1041"/>
      <c r="E51" s="1041"/>
      <c r="F51" s="1041"/>
      <c r="G51" s="1041"/>
      <c r="H51" s="1041"/>
      <c r="I51" s="1041"/>
      <c r="J51" s="1041"/>
      <c r="K51" s="1041"/>
      <c r="L51" s="1041"/>
      <c r="M51" s="1041"/>
      <c r="N51" s="24"/>
    </row>
    <row r="52" spans="1:14" ht="46.5" customHeight="1">
      <c r="A52" s="1"/>
      <c r="B52" s="15"/>
      <c r="C52" s="1041" t="s">
        <v>164</v>
      </c>
      <c r="D52" s="1041"/>
      <c r="E52" s="1041"/>
      <c r="F52" s="1041"/>
      <c r="G52" s="1041"/>
      <c r="H52" s="1041"/>
      <c r="I52" s="1041"/>
      <c r="J52" s="1041"/>
      <c r="K52" s="1041"/>
      <c r="L52" s="1041"/>
      <c r="M52" s="1041"/>
      <c r="N52" s="24"/>
    </row>
    <row r="53" spans="1:14">
      <c r="A53" s="1"/>
      <c r="B53" s="15"/>
      <c r="C53" s="25"/>
      <c r="D53" s="25"/>
      <c r="E53" s="25"/>
      <c r="F53" s="25"/>
      <c r="G53" s="25"/>
      <c r="H53" s="25"/>
      <c r="I53" s="25"/>
      <c r="J53" s="25"/>
      <c r="K53" s="25"/>
      <c r="L53" s="25"/>
      <c r="M53" s="25"/>
      <c r="N53" s="24"/>
    </row>
    <row r="54" spans="1:14">
      <c r="A54" s="1"/>
      <c r="B54" s="15"/>
      <c r="C54" s="25"/>
      <c r="D54" s="1042"/>
      <c r="E54" s="1042"/>
      <c r="F54" s="1042"/>
      <c r="G54" s="1042"/>
      <c r="H54" s="1042"/>
      <c r="I54" s="1042"/>
      <c r="J54" s="1042"/>
      <c r="K54" s="25"/>
      <c r="L54" s="1042"/>
      <c r="M54" s="1042"/>
      <c r="N54" s="24"/>
    </row>
    <row r="55" spans="1:14">
      <c r="A55" s="1"/>
      <c r="B55" s="15"/>
      <c r="C55" s="16"/>
      <c r="D55" s="1036" t="s">
        <v>165</v>
      </c>
      <c r="E55" s="1036"/>
      <c r="F55" s="1036"/>
      <c r="G55" s="1036"/>
      <c r="H55" s="1036"/>
      <c r="I55" s="1036"/>
      <c r="J55" s="1036"/>
      <c r="K55" s="16"/>
      <c r="L55" s="1037">
        <f>NOR!O33</f>
        <v>0</v>
      </c>
      <c r="M55" s="1037"/>
      <c r="N55" s="24"/>
    </row>
    <row r="56" spans="1:14">
      <c r="A56" s="1"/>
      <c r="B56" s="15"/>
      <c r="C56" s="1038" t="s">
        <v>166</v>
      </c>
      <c r="D56" s="1038"/>
      <c r="E56" s="1038"/>
      <c r="F56" s="1038"/>
      <c r="G56" s="1038"/>
      <c r="H56" s="1038"/>
      <c r="I56" s="1038"/>
      <c r="J56" s="1038"/>
      <c r="K56" s="1038"/>
      <c r="L56" s="1039" t="s">
        <v>144</v>
      </c>
      <c r="M56" s="1039"/>
      <c r="N56" s="24"/>
    </row>
    <row r="57" spans="1:14" ht="13.5" thickBot="1">
      <c r="A57" s="1"/>
      <c r="B57" s="36"/>
      <c r="C57" s="126"/>
      <c r="D57" s="126"/>
      <c r="E57" s="126"/>
      <c r="F57" s="126"/>
      <c r="G57" s="126"/>
      <c r="H57" s="126"/>
      <c r="I57" s="126"/>
      <c r="J57" s="126"/>
      <c r="K57" s="126"/>
      <c r="L57" s="126"/>
      <c r="M57" s="126"/>
      <c r="N57" s="38"/>
    </row>
  </sheetData>
  <sheetProtection formatCells="0"/>
  <mergeCells count="43">
    <mergeCell ref="E6:G6"/>
    <mergeCell ref="J6:M6"/>
    <mergeCell ref="F2:K3"/>
    <mergeCell ref="M2:N2"/>
    <mergeCell ref="M3:N3"/>
    <mergeCell ref="E5:G5"/>
    <mergeCell ref="J5:M5"/>
    <mergeCell ref="H23:I23"/>
    <mergeCell ref="E7:G7"/>
    <mergeCell ref="J7:M7"/>
    <mergeCell ref="E8:G8"/>
    <mergeCell ref="J8:M8"/>
    <mergeCell ref="F9:H9"/>
    <mergeCell ref="J9:M9"/>
    <mergeCell ref="F10:I10"/>
    <mergeCell ref="E15:H15"/>
    <mergeCell ref="I15:M15"/>
    <mergeCell ref="I17:M17"/>
    <mergeCell ref="I19:M20"/>
    <mergeCell ref="C43:M43"/>
    <mergeCell ref="C46:M46"/>
    <mergeCell ref="H24:I24"/>
    <mergeCell ref="J27:K27"/>
    <mergeCell ref="J28:K28"/>
    <mergeCell ref="I33:M34"/>
    <mergeCell ref="C37:M37"/>
    <mergeCell ref="C38:M38"/>
    <mergeCell ref="D55:J55"/>
    <mergeCell ref="L55:M55"/>
    <mergeCell ref="C56:K56"/>
    <mergeCell ref="L56:M56"/>
    <mergeCell ref="P37:Z37"/>
    <mergeCell ref="P38:Z38"/>
    <mergeCell ref="C47:M47"/>
    <mergeCell ref="C50:M50"/>
    <mergeCell ref="C51:M51"/>
    <mergeCell ref="C52:M52"/>
    <mergeCell ref="D54:J54"/>
    <mergeCell ref="L54:M54"/>
    <mergeCell ref="C39:M39"/>
    <mergeCell ref="C40:M40"/>
    <mergeCell ref="C41:M41"/>
    <mergeCell ref="C42:M42"/>
  </mergeCells>
  <pageMargins left="0.25" right="0.25" top="0.25" bottom="0.25" header="0.3" footer="0.3"/>
  <pageSetup paperSize="9" scale="95" fitToHeight="0"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46203-4013-46C3-B021-24414A4532B6}">
  <sheetPr>
    <tabColor rgb="FF92D050"/>
  </sheetPr>
  <dimension ref="A1:AF46"/>
  <sheetViews>
    <sheetView workbookViewId="0">
      <selection activeCell="V14" sqref="V14"/>
    </sheetView>
  </sheetViews>
  <sheetFormatPr baseColWidth="10" defaultColWidth="9" defaultRowHeight="12.75"/>
  <cols>
    <col min="1" max="20" width="4.85546875" style="1" customWidth="1"/>
    <col min="21" max="21" width="4.28515625" style="1" customWidth="1"/>
    <col min="22" max="22" width="9" style="339"/>
    <col min="23" max="23" width="4.85546875" style="339" customWidth="1"/>
    <col min="24" max="24" width="11.28515625" style="339" customWidth="1"/>
    <col min="25" max="25" width="12.42578125" style="339" customWidth="1"/>
    <col min="26" max="26" width="13.42578125" style="339" customWidth="1"/>
    <col min="27" max="27" width="14.7109375" style="339" customWidth="1"/>
    <col min="28" max="28" width="14" style="339" customWidth="1"/>
    <col min="29" max="29" width="11.42578125" style="339" customWidth="1"/>
    <col min="30" max="30" width="20.42578125" style="339" customWidth="1"/>
    <col min="31" max="34" width="4.85546875" style="339" customWidth="1"/>
    <col min="35" max="16384" width="9" style="339"/>
  </cols>
  <sheetData>
    <row r="1" spans="1:32" ht="21" customHeight="1">
      <c r="A1" s="358"/>
      <c r="B1" s="297"/>
      <c r="C1" s="297"/>
      <c r="D1" s="297"/>
      <c r="E1" s="297"/>
      <c r="F1" s="990" t="s">
        <v>517</v>
      </c>
      <c r="G1" s="990"/>
      <c r="H1" s="990"/>
      <c r="I1" s="990"/>
      <c r="J1" s="990"/>
      <c r="K1" s="990"/>
      <c r="L1" s="990"/>
      <c r="M1" s="990"/>
      <c r="N1" s="990"/>
      <c r="O1" s="991"/>
      <c r="P1" s="593"/>
      <c r="Q1" s="594"/>
      <c r="R1" s="596"/>
      <c r="S1" s="593" t="s">
        <v>2</v>
      </c>
      <c r="T1" s="594"/>
      <c r="U1" s="595"/>
      <c r="X1" s="530" t="s">
        <v>450</v>
      </c>
      <c r="Y1" s="531"/>
      <c r="Z1" s="531"/>
      <c r="AA1" s="531"/>
      <c r="AB1" s="531"/>
      <c r="AC1" s="531"/>
      <c r="AD1" s="531"/>
      <c r="AE1" s="531"/>
      <c r="AF1" s="532"/>
    </row>
    <row r="2" spans="1:32" ht="21" customHeight="1" thickBot="1">
      <c r="A2" s="10"/>
      <c r="B2" s="11"/>
      <c r="C2" s="11"/>
      <c r="D2" s="11"/>
      <c r="E2" s="11"/>
      <c r="F2" s="992"/>
      <c r="G2" s="992"/>
      <c r="H2" s="992"/>
      <c r="I2" s="992"/>
      <c r="J2" s="992"/>
      <c r="K2" s="992"/>
      <c r="L2" s="992"/>
      <c r="M2" s="992"/>
      <c r="N2" s="992"/>
      <c r="O2" s="993"/>
      <c r="P2" s="585" t="s">
        <v>514</v>
      </c>
      <c r="Q2" s="586"/>
      <c r="R2" s="587"/>
      <c r="S2" s="486" t="s">
        <v>572</v>
      </c>
      <c r="T2" s="996"/>
      <c r="U2" s="997"/>
      <c r="X2" s="533"/>
      <c r="Y2" s="534"/>
      <c r="Z2" s="534"/>
      <c r="AA2" s="534"/>
      <c r="AB2" s="534"/>
      <c r="AC2" s="534"/>
      <c r="AD2" s="534"/>
      <c r="AE2" s="534"/>
      <c r="AF2" s="535"/>
    </row>
    <row r="3" spans="1:32" ht="15.95" customHeight="1">
      <c r="A3" s="293"/>
      <c r="B3" s="359"/>
      <c r="C3" s="359"/>
      <c r="D3" s="359"/>
      <c r="E3" s="359"/>
      <c r="F3" s="359"/>
      <c r="G3" s="359"/>
      <c r="H3" s="359"/>
      <c r="I3" s="359"/>
      <c r="J3" s="360"/>
      <c r="K3" s="360"/>
      <c r="L3" s="360"/>
      <c r="M3" s="360"/>
      <c r="N3" s="360"/>
      <c r="O3" s="361"/>
      <c r="P3" s="362"/>
      <c r="Q3" s="363"/>
      <c r="R3" s="363"/>
      <c r="S3" s="363"/>
      <c r="T3" s="363"/>
      <c r="U3" s="21"/>
      <c r="X3" s="566" t="s">
        <v>560</v>
      </c>
      <c r="Y3" s="567"/>
      <c r="Z3" s="567"/>
      <c r="AA3" s="567"/>
      <c r="AB3" s="567"/>
      <c r="AC3" s="567"/>
      <c r="AD3" s="567"/>
      <c r="AE3" s="567"/>
      <c r="AF3" s="568"/>
    </row>
    <row r="4" spans="1:32" ht="15.95" customHeight="1">
      <c r="A4" s="315" t="s">
        <v>4</v>
      </c>
      <c r="B4" s="606"/>
      <c r="C4" s="588"/>
      <c r="D4" s="588"/>
      <c r="E4" s="588"/>
      <c r="F4" s="588"/>
      <c r="G4" s="588"/>
      <c r="H4" s="588"/>
      <c r="I4" s="588"/>
      <c r="J4" s="588"/>
      <c r="K4" s="364"/>
      <c r="L4" s="364"/>
      <c r="M4" s="581" t="s">
        <v>5</v>
      </c>
      <c r="N4" s="581"/>
      <c r="O4" s="581"/>
      <c r="P4" s="605" t="str">
        <f>IF('Data Entry'!B8="","",'Data Entry'!B8)</f>
        <v/>
      </c>
      <c r="Q4" s="605"/>
      <c r="R4" s="605"/>
      <c r="S4" s="605"/>
      <c r="T4" s="605"/>
      <c r="U4" s="24"/>
      <c r="X4" s="569"/>
      <c r="Y4" s="570"/>
      <c r="Z4" s="570"/>
      <c r="AA4" s="570"/>
      <c r="AB4" s="570"/>
      <c r="AC4" s="570"/>
      <c r="AD4" s="570"/>
      <c r="AE4" s="570"/>
      <c r="AF4" s="571"/>
    </row>
    <row r="5" spans="1:32" ht="15.95" customHeight="1">
      <c r="A5" s="294"/>
      <c r="B5" s="588" t="str">
        <f>IF('Data Entry'!B19="","",'Data Entry'!B19)</f>
        <v/>
      </c>
      <c r="C5" s="588"/>
      <c r="D5" s="588"/>
      <c r="E5" s="588"/>
      <c r="F5" s="588"/>
      <c r="G5" s="588"/>
      <c r="H5" s="588"/>
      <c r="I5" s="588"/>
      <c r="J5" s="588"/>
      <c r="K5" s="364"/>
      <c r="L5" s="364"/>
      <c r="M5" s="581" t="s">
        <v>7</v>
      </c>
      <c r="N5" s="581"/>
      <c r="O5" s="581"/>
      <c r="P5" s="597"/>
      <c r="Q5" s="597"/>
      <c r="R5" s="597"/>
      <c r="S5" s="597"/>
      <c r="T5" s="597"/>
      <c r="U5" s="24"/>
      <c r="X5" s="569"/>
      <c r="Y5" s="570"/>
      <c r="Z5" s="570"/>
      <c r="AA5" s="570"/>
      <c r="AB5" s="570"/>
      <c r="AC5" s="570"/>
      <c r="AD5" s="570"/>
      <c r="AE5" s="570"/>
      <c r="AF5" s="571"/>
    </row>
    <row r="6" spans="1:32" ht="15.95" customHeight="1">
      <c r="A6" s="294"/>
      <c r="B6" s="588" t="str">
        <f>IF('Data Entry'!B29="","",'Data Entry'!B29)</f>
        <v/>
      </c>
      <c r="C6" s="588"/>
      <c r="D6" s="588"/>
      <c r="E6" s="588"/>
      <c r="F6" s="588"/>
      <c r="G6" s="588"/>
      <c r="H6" s="588"/>
      <c r="I6" s="588"/>
      <c r="J6" s="588"/>
      <c r="K6" s="364"/>
      <c r="L6" s="364"/>
      <c r="M6" s="581" t="s">
        <v>8</v>
      </c>
      <c r="N6" s="581"/>
      <c r="O6" s="581"/>
      <c r="P6" s="597" t="str">
        <f>IF('Data Entry'!B17="","",'Data Entry'!B17)</f>
        <v/>
      </c>
      <c r="Q6" s="597"/>
      <c r="R6" s="597"/>
      <c r="S6" s="597"/>
      <c r="T6" s="597"/>
      <c r="U6" s="24"/>
      <c r="W6" s="26"/>
      <c r="X6" s="569"/>
      <c r="Y6" s="570"/>
      <c r="Z6" s="570"/>
      <c r="AA6" s="570"/>
      <c r="AB6" s="570"/>
      <c r="AC6" s="570"/>
      <c r="AD6" s="570"/>
      <c r="AE6" s="570"/>
      <c r="AF6" s="571"/>
    </row>
    <row r="7" spans="1:32" ht="15.95" customHeight="1">
      <c r="A7" s="294"/>
      <c r="B7" s="588" t="str">
        <f>IF('Data Entry'!B33="","",'Data Entry'!B33)</f>
        <v/>
      </c>
      <c r="C7" s="588"/>
      <c r="D7" s="588"/>
      <c r="E7" s="588"/>
      <c r="F7" s="588"/>
      <c r="G7" s="588"/>
      <c r="H7" s="588"/>
      <c r="I7" s="588"/>
      <c r="J7" s="588"/>
      <c r="K7" s="364"/>
      <c r="L7" s="364"/>
      <c r="M7" s="581" t="s">
        <v>515</v>
      </c>
      <c r="N7" s="581"/>
      <c r="O7" s="581"/>
      <c r="P7" s="582" t="str">
        <f>IF('Data Entry'!B23="","",'Data Entry'!B23)</f>
        <v/>
      </c>
      <c r="Q7" s="582"/>
      <c r="R7" s="582"/>
      <c r="S7" s="582"/>
      <c r="T7" s="582"/>
      <c r="U7" s="24"/>
      <c r="X7" s="569"/>
      <c r="Y7" s="570"/>
      <c r="Z7" s="570"/>
      <c r="AA7" s="570"/>
      <c r="AB7" s="570"/>
      <c r="AC7" s="570"/>
      <c r="AD7" s="570"/>
      <c r="AE7" s="570"/>
      <c r="AF7" s="571"/>
    </row>
    <row r="8" spans="1:32" ht="15.95" customHeight="1">
      <c r="A8" s="293"/>
      <c r="B8" s="588" t="str">
        <f>IF('Data Entry'!B31="","",'Data Entry'!B31)</f>
        <v/>
      </c>
      <c r="C8" s="588"/>
      <c r="D8" s="588"/>
      <c r="E8" s="588"/>
      <c r="F8" s="588"/>
      <c r="G8" s="588"/>
      <c r="H8" s="588"/>
      <c r="I8" s="588"/>
      <c r="J8" s="588"/>
      <c r="K8" s="364"/>
      <c r="L8" s="364"/>
      <c r="M8" s="581" t="s">
        <v>9</v>
      </c>
      <c r="N8" s="581"/>
      <c r="O8" s="581"/>
      <c r="P8" s="582" t="s">
        <v>391</v>
      </c>
      <c r="Q8" s="582"/>
      <c r="R8" s="583"/>
      <c r="S8" s="583"/>
      <c r="T8" s="583"/>
      <c r="U8" s="24"/>
      <c r="X8" s="569"/>
      <c r="Y8" s="570"/>
      <c r="Z8" s="570"/>
      <c r="AA8" s="570"/>
      <c r="AB8" s="570"/>
      <c r="AC8" s="570"/>
      <c r="AD8" s="570"/>
      <c r="AE8" s="570"/>
      <c r="AF8" s="571"/>
    </row>
    <row r="9" spans="1:32" ht="15.95" customHeight="1">
      <c r="A9" s="293"/>
      <c r="B9" s="588" t="s">
        <v>566</v>
      </c>
      <c r="C9" s="588"/>
      <c r="D9" s="588"/>
      <c r="E9" s="588"/>
      <c r="F9" s="588"/>
      <c r="G9" s="588"/>
      <c r="H9" s="588"/>
      <c r="I9" s="588"/>
      <c r="J9" s="588"/>
      <c r="K9" s="364"/>
      <c r="L9" s="364"/>
      <c r="M9" s="364"/>
      <c r="N9" s="364"/>
      <c r="O9" s="364"/>
      <c r="P9" s="364"/>
      <c r="Q9" s="365"/>
      <c r="R9" s="365"/>
      <c r="S9" s="365"/>
      <c r="T9" s="365"/>
      <c r="U9" s="24"/>
      <c r="X9" s="569"/>
      <c r="Y9" s="570"/>
      <c r="Z9" s="570"/>
      <c r="AA9" s="570"/>
      <c r="AB9" s="570"/>
      <c r="AC9" s="570"/>
      <c r="AD9" s="570"/>
      <c r="AE9" s="570"/>
      <c r="AF9" s="571"/>
    </row>
    <row r="10" spans="1:32" ht="15.95" customHeight="1">
      <c r="A10" s="293"/>
      <c r="B10" s="380"/>
      <c r="C10" s="380"/>
      <c r="D10" s="380"/>
      <c r="E10" s="380"/>
      <c r="F10" s="380"/>
      <c r="G10" s="380"/>
      <c r="H10" s="380"/>
      <c r="I10" s="380"/>
      <c r="J10" s="380"/>
      <c r="K10" s="364"/>
      <c r="L10" s="364"/>
      <c r="M10" s="364"/>
      <c r="N10" s="364"/>
      <c r="O10" s="364"/>
      <c r="P10" s="364"/>
      <c r="Q10" s="365"/>
      <c r="R10" s="365"/>
      <c r="S10" s="365"/>
      <c r="T10" s="365"/>
      <c r="U10" s="24"/>
      <c r="X10" s="569"/>
      <c r="Y10" s="570"/>
      <c r="Z10" s="570"/>
      <c r="AA10" s="570"/>
      <c r="AB10" s="570"/>
      <c r="AC10" s="570"/>
      <c r="AD10" s="570"/>
      <c r="AE10" s="570"/>
      <c r="AF10" s="571"/>
    </row>
    <row r="11" spans="1:32" ht="15.95" customHeight="1" thickBot="1">
      <c r="A11" s="293"/>
      <c r="B11" s="366"/>
      <c r="C11" s="366"/>
      <c r="D11" s="364"/>
      <c r="E11" s="364"/>
      <c r="F11" s="364"/>
      <c r="G11" s="364"/>
      <c r="H11" s="369"/>
      <c r="I11" s="369"/>
      <c r="J11" s="369"/>
      <c r="K11" s="364"/>
      <c r="L11" s="364"/>
      <c r="M11" s="364"/>
      <c r="N11" s="364"/>
      <c r="O11" s="364"/>
      <c r="P11" s="364"/>
      <c r="Q11" s="365"/>
      <c r="R11" s="365"/>
      <c r="S11" s="365"/>
      <c r="T11" s="365"/>
      <c r="U11" s="24"/>
      <c r="X11" s="572"/>
      <c r="Y11" s="573"/>
      <c r="Z11" s="573"/>
      <c r="AA11" s="573"/>
      <c r="AB11" s="573"/>
      <c r="AC11" s="573"/>
      <c r="AD11" s="573"/>
      <c r="AE11" s="573"/>
      <c r="AF11" s="574"/>
    </row>
    <row r="12" spans="1:32" ht="15.95" customHeight="1">
      <c r="A12" s="407"/>
      <c r="B12" s="986" t="s">
        <v>149</v>
      </c>
      <c r="C12" s="986"/>
      <c r="D12" s="986"/>
      <c r="E12" s="986"/>
      <c r="F12" s="986"/>
      <c r="G12" s="986"/>
      <c r="H12" s="986"/>
      <c r="I12" s="986"/>
      <c r="J12" s="986"/>
      <c r="K12" s="986"/>
      <c r="L12" s="986"/>
      <c r="M12" s="986"/>
      <c r="N12" s="986"/>
      <c r="O12" s="986"/>
      <c r="P12" s="986"/>
      <c r="Q12" s="986"/>
      <c r="R12" s="986"/>
      <c r="S12" s="986"/>
      <c r="T12" s="986"/>
      <c r="U12" s="24"/>
    </row>
    <row r="13" spans="1:32" ht="15.95" customHeight="1">
      <c r="A13" s="407"/>
      <c r="B13" s="408"/>
      <c r="C13" s="408"/>
      <c r="D13" s="408"/>
      <c r="E13" s="408"/>
      <c r="F13" s="408"/>
      <c r="G13" s="408"/>
      <c r="H13" s="408"/>
      <c r="I13" s="408"/>
      <c r="J13" s="408"/>
      <c r="K13" s="408"/>
      <c r="L13" s="408"/>
      <c r="M13" s="408"/>
      <c r="N13" s="408"/>
      <c r="O13" s="408"/>
      <c r="P13" s="408"/>
      <c r="Q13" s="408"/>
      <c r="R13" s="408"/>
      <c r="S13" s="408"/>
      <c r="T13" s="408"/>
      <c r="U13" s="24"/>
    </row>
    <row r="14" spans="1:32" ht="15.95" customHeight="1">
      <c r="A14" s="407"/>
      <c r="B14" s="408" t="s">
        <v>518</v>
      </c>
      <c r="C14" s="408"/>
      <c r="D14" s="408"/>
      <c r="E14" s="408"/>
      <c r="F14" s="408"/>
      <c r="G14" s="408"/>
      <c r="H14" s="408"/>
      <c r="I14" s="408"/>
      <c r="J14" s="408"/>
      <c r="K14" s="408"/>
      <c r="L14" s="408"/>
      <c r="M14" s="408"/>
      <c r="N14" s="408"/>
      <c r="O14" s="408"/>
      <c r="P14" s="408"/>
      <c r="Q14" s="408"/>
      <c r="R14" s="408"/>
      <c r="S14" s="408"/>
      <c r="T14" s="408"/>
      <c r="U14" s="24"/>
    </row>
    <row r="15" spans="1:32" ht="15.95" customHeight="1">
      <c r="A15" s="407"/>
      <c r="B15" s="408"/>
      <c r="C15" s="408"/>
      <c r="D15" s="408"/>
      <c r="E15" s="408"/>
      <c r="F15" s="408"/>
      <c r="G15" s="408"/>
      <c r="H15" s="408"/>
      <c r="I15" s="408"/>
      <c r="J15" s="408"/>
      <c r="K15" s="408"/>
      <c r="L15" s="408"/>
      <c r="M15" s="408"/>
      <c r="N15" s="408"/>
      <c r="O15" s="408"/>
      <c r="P15" s="408"/>
      <c r="Q15" s="408"/>
      <c r="R15" s="408"/>
      <c r="S15" s="408"/>
      <c r="T15" s="408"/>
      <c r="U15" s="24"/>
    </row>
    <row r="16" spans="1:32" ht="15.95" customHeight="1">
      <c r="A16" s="407"/>
      <c r="B16" s="408"/>
      <c r="C16" s="408"/>
      <c r="D16" s="408"/>
      <c r="E16" s="408"/>
      <c r="F16" s="408"/>
      <c r="G16" s="408"/>
      <c r="H16" s="408"/>
      <c r="I16" s="408"/>
      <c r="J16" s="408"/>
      <c r="K16" s="408"/>
      <c r="L16" s="408"/>
      <c r="M16" s="408"/>
      <c r="N16" s="408"/>
      <c r="O16" s="408"/>
      <c r="P16" s="408"/>
      <c r="Q16" s="408"/>
      <c r="R16" s="408"/>
      <c r="S16" s="408"/>
      <c r="T16" s="408"/>
      <c r="U16" s="402"/>
    </row>
    <row r="17" spans="1:21" ht="15.95" customHeight="1">
      <c r="A17" s="407"/>
      <c r="B17" s="1058" t="s">
        <v>364</v>
      </c>
      <c r="C17" s="1058"/>
      <c r="D17" s="1058"/>
      <c r="E17" s="1058"/>
      <c r="F17" s="1058"/>
      <c r="G17" s="1058"/>
      <c r="H17" s="1058"/>
      <c r="I17" s="979"/>
      <c r="J17" s="979"/>
      <c r="K17" s="979"/>
      <c r="L17" s="979"/>
      <c r="M17" s="979"/>
      <c r="N17" s="408" t="s">
        <v>519</v>
      </c>
      <c r="O17" s="408"/>
      <c r="P17" s="408"/>
      <c r="Q17" s="408"/>
      <c r="R17" s="408"/>
      <c r="S17" s="408"/>
      <c r="T17" s="408"/>
      <c r="U17" s="24"/>
    </row>
    <row r="18" spans="1:21" ht="15.95" customHeight="1">
      <c r="A18" s="407"/>
      <c r="B18" s="369"/>
      <c r="C18" s="369"/>
      <c r="D18" s="369"/>
      <c r="E18" s="369"/>
      <c r="F18" s="369"/>
      <c r="G18" s="369"/>
      <c r="H18" s="369"/>
      <c r="I18" s="1059"/>
      <c r="J18" s="1059"/>
      <c r="K18" s="1059"/>
      <c r="L18" s="1059"/>
      <c r="M18" s="1059"/>
      <c r="N18" s="369" t="s">
        <v>520</v>
      </c>
      <c r="O18" s="369"/>
      <c r="P18" s="369"/>
      <c r="Q18" s="369"/>
      <c r="R18" s="369"/>
      <c r="S18" s="369"/>
      <c r="T18" s="369"/>
      <c r="U18" s="402"/>
    </row>
    <row r="19" spans="1:21" ht="15.95" customHeight="1">
      <c r="A19" s="407"/>
      <c r="B19" s="1058" t="s">
        <v>250</v>
      </c>
      <c r="C19" s="1058"/>
      <c r="D19" s="1058"/>
      <c r="E19" s="1058"/>
      <c r="F19" s="1058"/>
      <c r="G19" s="1058"/>
      <c r="H19" s="1058"/>
      <c r="I19" s="982"/>
      <c r="J19" s="982"/>
      <c r="K19" s="982"/>
      <c r="L19" s="982"/>
      <c r="M19" s="982"/>
      <c r="N19" s="408" t="s">
        <v>519</v>
      </c>
      <c r="O19" s="408"/>
      <c r="P19" s="408"/>
      <c r="Q19" s="408"/>
      <c r="R19" s="408"/>
      <c r="S19" s="408"/>
      <c r="T19" s="408"/>
      <c r="U19" s="24"/>
    </row>
    <row r="20" spans="1:21" ht="15.95" customHeight="1">
      <c r="A20" s="407"/>
      <c r="B20" s="408"/>
      <c r="C20" s="988"/>
      <c r="D20" s="988"/>
      <c r="E20" s="988"/>
      <c r="F20" s="988"/>
      <c r="G20" s="988"/>
      <c r="H20" s="988"/>
      <c r="I20" s="979"/>
      <c r="J20" s="979"/>
      <c r="K20" s="979"/>
      <c r="L20" s="979"/>
      <c r="M20" s="979"/>
      <c r="N20" s="408" t="s">
        <v>520</v>
      </c>
      <c r="O20" s="408"/>
      <c r="P20" s="408"/>
      <c r="Q20" s="408"/>
      <c r="R20" s="408"/>
      <c r="S20" s="408"/>
      <c r="T20" s="408"/>
      <c r="U20" s="24"/>
    </row>
    <row r="21" spans="1:21" ht="15.95" customHeight="1">
      <c r="A21" s="407"/>
      <c r="B21" s="408"/>
      <c r="C21" s="408"/>
      <c r="D21" s="408"/>
      <c r="E21" s="408"/>
      <c r="F21" s="408"/>
      <c r="G21" s="408"/>
      <c r="H21" s="408"/>
      <c r="I21" s="408"/>
      <c r="J21" s="408"/>
      <c r="K21" s="408"/>
      <c r="L21" s="408"/>
      <c r="M21" s="408"/>
      <c r="N21" s="408"/>
      <c r="O21" s="408"/>
      <c r="P21" s="408"/>
      <c r="Q21" s="408"/>
      <c r="R21" s="408"/>
      <c r="S21" s="408"/>
      <c r="T21" s="408"/>
      <c r="U21" s="24"/>
    </row>
    <row r="22" spans="1:21" ht="15.95" customHeight="1">
      <c r="A22" s="407"/>
      <c r="B22" s="412"/>
      <c r="C22" s="412"/>
      <c r="D22" s="412"/>
      <c r="E22" s="412"/>
      <c r="F22" s="412"/>
      <c r="G22" s="412"/>
      <c r="H22" s="412"/>
      <c r="I22" s="412"/>
      <c r="J22" s="412"/>
      <c r="K22" s="412"/>
      <c r="L22" s="412"/>
      <c r="M22" s="412"/>
      <c r="N22" s="412"/>
      <c r="O22" s="412"/>
      <c r="P22" s="412"/>
      <c r="Q22" s="412"/>
      <c r="R22" s="412"/>
      <c r="S22" s="412"/>
      <c r="T22" s="412"/>
      <c r="U22" s="24"/>
    </row>
    <row r="23" spans="1:21" ht="15.95" customHeight="1">
      <c r="A23" s="407"/>
      <c r="B23" s="1060" t="s">
        <v>251</v>
      </c>
      <c r="C23" s="1060"/>
      <c r="D23" s="1060"/>
      <c r="E23" s="1060"/>
      <c r="F23" s="1060"/>
      <c r="G23" s="1060"/>
      <c r="H23" s="1060"/>
      <c r="I23" s="1061"/>
      <c r="J23" s="1061"/>
      <c r="K23" s="1061"/>
      <c r="L23" s="1061"/>
      <c r="M23" s="1061"/>
      <c r="N23" s="408" t="s">
        <v>519</v>
      </c>
      <c r="O23" s="412"/>
      <c r="P23" s="412"/>
      <c r="Q23" s="412"/>
      <c r="R23" s="412"/>
      <c r="S23" s="412"/>
      <c r="T23" s="412"/>
      <c r="U23" s="24"/>
    </row>
    <row r="24" spans="1:21" ht="15.95" customHeight="1">
      <c r="A24" s="407"/>
      <c r="B24" s="412"/>
      <c r="C24" s="412"/>
      <c r="D24" s="412"/>
      <c r="E24" s="412"/>
      <c r="F24" s="412"/>
      <c r="G24" s="412"/>
      <c r="H24" s="412"/>
      <c r="I24" s="1062"/>
      <c r="J24" s="1062"/>
      <c r="K24" s="1062"/>
      <c r="L24" s="1062"/>
      <c r="M24" s="1062"/>
      <c r="N24" s="408" t="s">
        <v>520</v>
      </c>
      <c r="O24" s="412"/>
      <c r="P24" s="412"/>
      <c r="Q24" s="412"/>
      <c r="R24" s="412"/>
      <c r="S24" s="412"/>
      <c r="T24" s="412"/>
      <c r="U24" s="24"/>
    </row>
    <row r="25" spans="1:21" ht="15.95" customHeight="1">
      <c r="A25" s="407"/>
      <c r="B25" s="412"/>
      <c r="C25" s="412"/>
      <c r="D25" s="412"/>
      <c r="E25" s="412"/>
      <c r="F25" s="412"/>
      <c r="G25" s="412"/>
      <c r="H25" s="412"/>
      <c r="I25" s="412"/>
      <c r="J25" s="412"/>
      <c r="K25" s="412"/>
      <c r="L25" s="412"/>
      <c r="M25" s="412"/>
      <c r="N25" s="412"/>
      <c r="O25" s="412"/>
      <c r="P25" s="412"/>
      <c r="Q25" s="412"/>
      <c r="R25" s="412"/>
      <c r="S25" s="412"/>
      <c r="T25" s="412"/>
      <c r="U25" s="24"/>
    </row>
    <row r="26" spans="1:21" ht="15.95" customHeight="1">
      <c r="A26" s="407"/>
      <c r="B26" s="412"/>
      <c r="C26" s="412"/>
      <c r="D26" s="412"/>
      <c r="E26" s="412"/>
      <c r="F26" s="412"/>
      <c r="G26" s="412"/>
      <c r="H26" s="412"/>
      <c r="I26" s="412"/>
      <c r="J26" s="412"/>
      <c r="K26" s="412"/>
      <c r="L26" s="412"/>
      <c r="M26" s="412"/>
      <c r="N26" s="412"/>
      <c r="O26" s="412"/>
      <c r="P26" s="412"/>
      <c r="Q26" s="412"/>
      <c r="R26" s="412"/>
      <c r="S26" s="412"/>
      <c r="T26" s="412"/>
      <c r="U26" s="270"/>
    </row>
    <row r="27" spans="1:21" ht="15.95" customHeight="1">
      <c r="A27" s="293"/>
      <c r="B27" s="369"/>
      <c r="C27" s="369"/>
      <c r="D27" s="369"/>
      <c r="E27" s="369"/>
      <c r="F27" s="369"/>
      <c r="G27" s="369"/>
      <c r="H27" s="400"/>
      <c r="I27" s="400"/>
      <c r="J27" s="400"/>
      <c r="K27" s="400"/>
      <c r="L27" s="400"/>
      <c r="M27" s="400"/>
      <c r="N27" s="400"/>
      <c r="O27" s="400"/>
      <c r="P27" s="400"/>
      <c r="Q27" s="400"/>
      <c r="R27" s="400"/>
      <c r="S27" s="400"/>
      <c r="T27" s="400"/>
      <c r="U27" s="24"/>
    </row>
    <row r="28" spans="1:21" ht="15.95" customHeight="1">
      <c r="A28" s="293"/>
      <c r="B28" s="989" t="s">
        <v>164</v>
      </c>
      <c r="C28" s="989"/>
      <c r="D28" s="989"/>
      <c r="E28" s="989"/>
      <c r="F28" s="989"/>
      <c r="G28" s="989"/>
      <c r="H28" s="989"/>
      <c r="I28" s="989"/>
      <c r="J28" s="989"/>
      <c r="K28" s="989"/>
      <c r="L28" s="989"/>
      <c r="M28" s="989"/>
      <c r="N28" s="989"/>
      <c r="O28" s="989"/>
      <c r="P28" s="989"/>
      <c r="Q28" s="989"/>
      <c r="R28" s="989"/>
      <c r="S28" s="989"/>
      <c r="T28" s="989"/>
      <c r="U28" s="24"/>
    </row>
    <row r="29" spans="1:21" ht="15.95" customHeight="1">
      <c r="A29" s="293"/>
      <c r="B29" s="989"/>
      <c r="C29" s="989"/>
      <c r="D29" s="989"/>
      <c r="E29" s="989"/>
      <c r="F29" s="989"/>
      <c r="G29" s="989"/>
      <c r="H29" s="989"/>
      <c r="I29" s="989"/>
      <c r="J29" s="989"/>
      <c r="K29" s="989"/>
      <c r="L29" s="989"/>
      <c r="M29" s="989"/>
      <c r="N29" s="989"/>
      <c r="O29" s="989"/>
      <c r="P29" s="989"/>
      <c r="Q29" s="989"/>
      <c r="R29" s="989"/>
      <c r="S29" s="989"/>
      <c r="T29" s="989"/>
      <c r="U29" s="24"/>
    </row>
    <row r="30" spans="1:21" ht="15.95" customHeight="1">
      <c r="A30" s="293"/>
      <c r="B30" s="989"/>
      <c r="C30" s="989"/>
      <c r="D30" s="989"/>
      <c r="E30" s="989"/>
      <c r="F30" s="989"/>
      <c r="G30" s="989"/>
      <c r="H30" s="989"/>
      <c r="I30" s="989"/>
      <c r="J30" s="989"/>
      <c r="K30" s="989"/>
      <c r="L30" s="989"/>
      <c r="M30" s="989"/>
      <c r="N30" s="989"/>
      <c r="O30" s="989"/>
      <c r="P30" s="989"/>
      <c r="Q30" s="989"/>
      <c r="R30" s="989"/>
      <c r="S30" s="989"/>
      <c r="T30" s="989"/>
      <c r="U30" s="24"/>
    </row>
    <row r="31" spans="1:21" ht="15.95" customHeight="1">
      <c r="A31" s="293"/>
      <c r="B31" s="989"/>
      <c r="C31" s="989"/>
      <c r="D31" s="989"/>
      <c r="E31" s="989"/>
      <c r="F31" s="989"/>
      <c r="G31" s="989"/>
      <c r="H31" s="989"/>
      <c r="I31" s="989"/>
      <c r="J31" s="989"/>
      <c r="K31" s="989"/>
      <c r="L31" s="989"/>
      <c r="M31" s="989"/>
      <c r="N31" s="989"/>
      <c r="O31" s="989"/>
      <c r="P31" s="989"/>
      <c r="Q31" s="989"/>
      <c r="R31" s="989"/>
      <c r="S31" s="989"/>
      <c r="T31" s="989"/>
      <c r="U31" s="24"/>
    </row>
    <row r="32" spans="1:21" ht="15.95" customHeight="1">
      <c r="A32" s="293"/>
      <c r="B32" s="409"/>
      <c r="C32" s="409"/>
      <c r="D32" s="409"/>
      <c r="E32" s="409"/>
      <c r="F32" s="409"/>
      <c r="G32" s="409"/>
      <c r="H32" s="409"/>
      <c r="I32" s="409"/>
      <c r="J32" s="409"/>
      <c r="K32" s="409"/>
      <c r="L32" s="409"/>
      <c r="M32" s="409"/>
      <c r="N32" s="409"/>
      <c r="O32" s="409"/>
      <c r="P32" s="409"/>
      <c r="Q32" s="409"/>
      <c r="R32" s="409"/>
      <c r="S32" s="409"/>
      <c r="T32" s="409"/>
      <c r="U32" s="24"/>
    </row>
    <row r="33" spans="1:21" ht="15.95" customHeight="1">
      <c r="A33" s="293"/>
      <c r="B33" s="409"/>
      <c r="C33" s="409"/>
      <c r="D33" s="409"/>
      <c r="E33" s="409"/>
      <c r="F33" s="409"/>
      <c r="G33" s="409"/>
      <c r="H33" s="409"/>
      <c r="I33" s="409"/>
      <c r="J33" s="409"/>
      <c r="K33" s="409"/>
      <c r="L33" s="409"/>
      <c r="M33" s="409"/>
      <c r="N33" s="409"/>
      <c r="O33" s="409"/>
      <c r="P33" s="409"/>
      <c r="Q33" s="409"/>
      <c r="R33" s="409"/>
      <c r="S33" s="409"/>
      <c r="T33" s="409"/>
      <c r="U33" s="24"/>
    </row>
    <row r="34" spans="1:21" ht="15.95" customHeight="1">
      <c r="A34" s="293"/>
      <c r="B34" s="409"/>
      <c r="C34" s="409"/>
      <c r="D34" s="409"/>
      <c r="E34" s="409"/>
      <c r="F34" s="409"/>
      <c r="G34" s="409"/>
      <c r="H34" s="409"/>
      <c r="I34" s="409"/>
      <c r="J34" s="409"/>
      <c r="K34" s="409"/>
      <c r="L34" s="409"/>
      <c r="M34" s="409"/>
      <c r="N34" s="409"/>
      <c r="O34" s="409"/>
      <c r="P34" s="409"/>
      <c r="Q34" s="409"/>
      <c r="R34" s="409"/>
      <c r="S34" s="409"/>
      <c r="T34" s="409"/>
      <c r="U34" s="24"/>
    </row>
    <row r="35" spans="1:21" ht="15.95" customHeight="1">
      <c r="A35" s="293"/>
      <c r="B35" s="409"/>
      <c r="C35" s="409"/>
      <c r="D35" s="409"/>
      <c r="E35" s="409"/>
      <c r="F35" s="409"/>
      <c r="G35" s="409"/>
      <c r="H35" s="409"/>
      <c r="I35" s="409"/>
      <c r="J35" s="409"/>
      <c r="K35" s="409"/>
      <c r="L35" s="409"/>
      <c r="M35" s="409"/>
      <c r="N35" s="409"/>
      <c r="O35" s="409"/>
      <c r="P35" s="409"/>
      <c r="Q35" s="409"/>
      <c r="R35" s="409"/>
      <c r="S35" s="409"/>
      <c r="T35" s="409"/>
      <c r="U35" s="24"/>
    </row>
    <row r="36" spans="1:21" ht="15.95" customHeight="1">
      <c r="A36" s="293"/>
      <c r="B36" s="369"/>
      <c r="C36" s="369"/>
      <c r="D36" s="369"/>
      <c r="E36" s="369"/>
      <c r="F36" s="369"/>
      <c r="G36" s="369"/>
      <c r="H36" s="400"/>
      <c r="I36" s="400"/>
      <c r="J36" s="400"/>
      <c r="K36" s="400"/>
      <c r="L36" s="400"/>
      <c r="M36" s="400"/>
      <c r="N36" s="400"/>
      <c r="O36" s="369"/>
      <c r="P36" s="369"/>
      <c r="Q36" s="369"/>
      <c r="R36" s="369"/>
      <c r="S36" s="369"/>
      <c r="T36" s="369"/>
      <c r="U36" s="24"/>
    </row>
    <row r="37" spans="1:21" ht="15.95" customHeight="1">
      <c r="A37" s="293"/>
      <c r="B37" s="369"/>
      <c r="C37" s="369"/>
      <c r="D37" s="369"/>
      <c r="E37" s="369"/>
      <c r="F37" s="369"/>
      <c r="G37" s="369"/>
      <c r="H37" s="400"/>
      <c r="I37" s="400"/>
      <c r="J37" s="400"/>
      <c r="K37" s="400"/>
      <c r="L37" s="400"/>
      <c r="M37" s="400"/>
      <c r="N37" s="400"/>
      <c r="O37" s="973">
        <f>'Data Entry'!B35</f>
        <v>0</v>
      </c>
      <c r="P37" s="973"/>
      <c r="Q37" s="973"/>
      <c r="R37" s="973"/>
      <c r="S37" s="973"/>
      <c r="T37" s="973"/>
      <c r="U37" s="24"/>
    </row>
    <row r="38" spans="1:21" ht="15.95" customHeight="1">
      <c r="A38" s="293"/>
      <c r="B38" s="369"/>
      <c r="C38" s="369"/>
      <c r="D38" s="369"/>
      <c r="E38" s="369"/>
      <c r="F38" s="369"/>
      <c r="G38" s="369"/>
      <c r="H38" s="400"/>
      <c r="I38" s="400"/>
      <c r="J38" s="400"/>
      <c r="K38" s="400"/>
      <c r="L38" s="400"/>
      <c r="M38" s="400"/>
      <c r="N38" s="400"/>
      <c r="O38" s="971" t="s">
        <v>23</v>
      </c>
      <c r="P38" s="974"/>
      <c r="Q38" s="974"/>
      <c r="R38" s="974"/>
      <c r="S38" s="974"/>
      <c r="T38" s="974"/>
      <c r="U38" s="24"/>
    </row>
    <row r="39" spans="1:21" ht="15.95" customHeight="1">
      <c r="A39" s="293"/>
      <c r="B39" s="400"/>
      <c r="C39" s="400"/>
      <c r="D39" s="400"/>
      <c r="E39" s="400"/>
      <c r="F39" s="400"/>
      <c r="G39" s="400"/>
      <c r="H39" s="400"/>
      <c r="I39" s="400"/>
      <c r="J39" s="400"/>
      <c r="K39" s="400"/>
      <c r="L39" s="400"/>
      <c r="M39" s="400"/>
      <c r="N39" s="400"/>
      <c r="O39" s="400"/>
      <c r="P39" s="400"/>
      <c r="Q39" s="400"/>
      <c r="R39" s="400"/>
      <c r="S39" s="400"/>
      <c r="T39" s="400"/>
      <c r="U39" s="24"/>
    </row>
    <row r="40" spans="1:21" ht="15.95" customHeight="1">
      <c r="A40" s="293"/>
      <c r="B40" s="400"/>
      <c r="C40" s="400"/>
      <c r="D40" s="400"/>
      <c r="E40" s="400"/>
      <c r="F40" s="400"/>
      <c r="G40" s="400"/>
      <c r="H40" s="400"/>
      <c r="I40" s="400"/>
      <c r="J40" s="400"/>
      <c r="K40" s="400"/>
      <c r="L40" s="400"/>
      <c r="M40" s="400"/>
      <c r="N40" s="400"/>
      <c r="O40" s="400"/>
      <c r="P40" s="400"/>
      <c r="Q40" s="400"/>
      <c r="R40" s="400"/>
      <c r="S40" s="400"/>
      <c r="T40" s="400"/>
      <c r="U40" s="24"/>
    </row>
    <row r="41" spans="1:21" ht="15.95" customHeight="1">
      <c r="A41" s="293"/>
      <c r="B41" s="400"/>
      <c r="C41" s="400"/>
      <c r="D41" s="400"/>
      <c r="E41" s="400"/>
      <c r="F41" s="400"/>
      <c r="G41" s="400"/>
      <c r="H41" s="400"/>
      <c r="I41" s="400"/>
      <c r="J41" s="400"/>
      <c r="K41" s="400"/>
      <c r="L41" s="400"/>
      <c r="M41" s="400"/>
      <c r="N41" s="400"/>
      <c r="O41" s="400"/>
      <c r="P41" s="400"/>
      <c r="Q41" s="400"/>
      <c r="R41" s="400"/>
      <c r="S41" s="400"/>
      <c r="T41" s="400"/>
      <c r="U41" s="24"/>
    </row>
    <row r="42" spans="1:21" ht="15.95" customHeight="1">
      <c r="A42" s="293"/>
      <c r="B42" s="400"/>
      <c r="C42" s="400"/>
      <c r="D42" s="400"/>
      <c r="E42" s="400"/>
      <c r="F42" s="400"/>
      <c r="G42" s="400"/>
      <c r="H42" s="400"/>
      <c r="I42" s="400"/>
      <c r="J42" s="400"/>
      <c r="K42" s="400"/>
      <c r="L42" s="400"/>
      <c r="M42" s="400"/>
      <c r="N42" s="400"/>
      <c r="O42" s="400"/>
      <c r="P42" s="400"/>
      <c r="Q42" s="400"/>
      <c r="R42" s="400"/>
      <c r="S42" s="400"/>
      <c r="T42" s="400"/>
      <c r="U42" s="24"/>
    </row>
    <row r="43" spans="1:21" ht="15.95" customHeight="1">
      <c r="A43" s="293"/>
      <c r="B43" s="369"/>
      <c r="C43" s="400"/>
      <c r="D43" s="400"/>
      <c r="E43" s="400"/>
      <c r="F43" s="400"/>
      <c r="G43" s="400"/>
      <c r="H43" s="400"/>
      <c r="I43" s="400"/>
      <c r="J43" s="400"/>
      <c r="K43" s="400"/>
      <c r="L43" s="400"/>
      <c r="M43" s="400"/>
      <c r="N43" s="400"/>
      <c r="O43" s="400"/>
      <c r="P43" s="400"/>
      <c r="Q43" s="400"/>
      <c r="R43" s="400"/>
      <c r="S43" s="400"/>
      <c r="T43" s="400"/>
      <c r="U43" s="24"/>
    </row>
    <row r="44" spans="1:21" ht="15.95" customHeight="1">
      <c r="A44" s="293"/>
      <c r="B44" s="970" t="s">
        <v>142</v>
      </c>
      <c r="C44" s="970"/>
      <c r="D44" s="970"/>
      <c r="E44" s="970"/>
      <c r="F44" s="970"/>
      <c r="G44" s="970"/>
      <c r="H44" s="970"/>
      <c r="I44" s="970"/>
      <c r="J44" s="970"/>
      <c r="K44" s="970"/>
      <c r="L44" s="970"/>
      <c r="M44" s="970"/>
      <c r="N44" s="970"/>
      <c r="O44" s="970"/>
      <c r="P44" s="970"/>
      <c r="Q44" s="970"/>
      <c r="R44" s="970"/>
      <c r="S44" s="970"/>
      <c r="T44" s="970"/>
      <c r="U44" s="24"/>
    </row>
    <row r="45" spans="1:21" ht="15.95" customHeight="1">
      <c r="A45" s="293"/>
      <c r="B45" s="971" t="s">
        <v>143</v>
      </c>
      <c r="C45" s="971"/>
      <c r="D45" s="971"/>
      <c r="E45" s="971"/>
      <c r="F45" s="971"/>
      <c r="G45" s="971"/>
      <c r="H45" s="971"/>
      <c r="I45" s="971"/>
      <c r="J45" s="971"/>
      <c r="K45" s="971"/>
      <c r="L45" s="971"/>
      <c r="M45" s="971"/>
      <c r="N45" s="971"/>
      <c r="O45" s="971"/>
      <c r="P45" s="971"/>
      <c r="Q45" s="971"/>
      <c r="R45" s="971"/>
      <c r="S45" s="971"/>
      <c r="T45" s="971"/>
      <c r="U45" s="24"/>
    </row>
    <row r="46" spans="1:21" ht="15.95" customHeight="1" thickBot="1">
      <c r="A46" s="36"/>
      <c r="B46" s="37"/>
      <c r="C46" s="406"/>
      <c r="D46" s="406"/>
      <c r="E46" s="406"/>
      <c r="F46" s="406"/>
      <c r="G46" s="406"/>
      <c r="H46" s="406"/>
      <c r="I46" s="406"/>
      <c r="J46" s="406"/>
      <c r="K46" s="406"/>
      <c r="L46" s="406"/>
      <c r="M46" s="406"/>
      <c r="N46" s="406"/>
      <c r="O46" s="406"/>
      <c r="P46" s="406"/>
      <c r="Q46" s="406"/>
      <c r="R46" s="406"/>
      <c r="S46" s="406"/>
      <c r="T46" s="37"/>
      <c r="U46" s="38"/>
    </row>
  </sheetData>
  <mergeCells count="40">
    <mergeCell ref="F1:O2"/>
    <mergeCell ref="P1:R1"/>
    <mergeCell ref="S1:U1"/>
    <mergeCell ref="X1:AF2"/>
    <mergeCell ref="P2:R2"/>
    <mergeCell ref="S2:U2"/>
    <mergeCell ref="X3:AF11"/>
    <mergeCell ref="B4:J4"/>
    <mergeCell ref="M4:O4"/>
    <mergeCell ref="P4:T4"/>
    <mergeCell ref="B5:J5"/>
    <mergeCell ref="M5:O5"/>
    <mergeCell ref="P5:T5"/>
    <mergeCell ref="B6:J6"/>
    <mergeCell ref="M6:O6"/>
    <mergeCell ref="P6:T6"/>
    <mergeCell ref="B9:J9"/>
    <mergeCell ref="B12:T12"/>
    <mergeCell ref="B7:J7"/>
    <mergeCell ref="M7:O7"/>
    <mergeCell ref="P7:T7"/>
    <mergeCell ref="B8:J8"/>
    <mergeCell ref="M8:O8"/>
    <mergeCell ref="P8:Q8"/>
    <mergeCell ref="R8:T8"/>
    <mergeCell ref="B45:T45"/>
    <mergeCell ref="B17:H17"/>
    <mergeCell ref="B19:H19"/>
    <mergeCell ref="I17:M17"/>
    <mergeCell ref="I19:M19"/>
    <mergeCell ref="C20:H20"/>
    <mergeCell ref="I18:M18"/>
    <mergeCell ref="I20:M20"/>
    <mergeCell ref="B23:H23"/>
    <mergeCell ref="B28:T31"/>
    <mergeCell ref="O37:T37"/>
    <mergeCell ref="O38:T38"/>
    <mergeCell ref="B44:T44"/>
    <mergeCell ref="I23:M23"/>
    <mergeCell ref="I24:M24"/>
  </mergeCells>
  <conditionalFormatting sqref="B4:J4">
    <cfRule type="cellIs" dxfId="2" priority="1" operator="equal">
      <formula>0</formula>
    </cfRule>
  </conditionalFormatting>
  <pageMargins left="3.937007874015748E-2" right="3.937007874015748E-2" top="0.74803149606299213" bottom="0.74803149606299213" header="0.31496062992125984" footer="0.31496062992125984"/>
  <pageSetup paperSize="9"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7391F256-29D4-48AA-B818-2DDA4CF4BA83}">
          <x14:formula1>
            <xm:f>'Data Entry'!$B$11:$C$11</xm:f>
          </x14:formula1>
          <xm:sqref>P5:T5</xm:sqref>
        </x14:dataValidation>
        <x14:dataValidation type="list" allowBlank="1" showInputMessage="1" showErrorMessage="1" xr:uid="{D7A2B87E-E5C7-4785-B50B-E8E1E4F15175}">
          <x14:formula1>
            <xm:f>'Data Entry'!$B$13:$C$13</xm:f>
          </x14:formula1>
          <xm:sqref>B4:J4</xm:sqref>
        </x14:dataValidation>
        <x14:dataValidation type="list" allowBlank="1" showInputMessage="1" showErrorMessage="1" xr:uid="{E2048994-E79F-4AAA-B8BB-D0D70E630EAC}">
          <x14:formula1>
            <xm:f>'Data Entry'!$B$15:$C$15</xm:f>
          </x14:formula1>
          <xm:sqref>R8:T8</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13708-5751-4786-AFC2-E2991C3AE9AC}">
  <sheetPr>
    <tabColor rgb="FF92D050"/>
  </sheetPr>
  <dimension ref="A1:AF59"/>
  <sheetViews>
    <sheetView workbookViewId="0">
      <selection activeCell="X18" sqref="X18"/>
    </sheetView>
  </sheetViews>
  <sheetFormatPr baseColWidth="10" defaultColWidth="9" defaultRowHeight="12.75"/>
  <cols>
    <col min="1" max="20" width="4.85546875" style="1" customWidth="1"/>
    <col min="21" max="21" width="4.28515625" style="1" customWidth="1"/>
    <col min="22" max="22" width="9" style="339"/>
    <col min="23" max="23" width="4.85546875" style="339" customWidth="1"/>
    <col min="24" max="24" width="11.28515625" style="339" customWidth="1"/>
    <col min="25" max="25" width="12.42578125" style="339" customWidth="1"/>
    <col min="26" max="26" width="13.42578125" style="339" customWidth="1"/>
    <col min="27" max="27" width="14.7109375" style="339" customWidth="1"/>
    <col min="28" max="28" width="14" style="339" customWidth="1"/>
    <col min="29" max="29" width="11.42578125" style="339" customWidth="1"/>
    <col min="30" max="30" width="20.42578125" style="339" customWidth="1"/>
    <col min="31" max="34" width="4.85546875" style="339" customWidth="1"/>
    <col min="35" max="16384" width="9" style="339"/>
  </cols>
  <sheetData>
    <row r="1" spans="1:32" ht="21" customHeight="1">
      <c r="A1" s="358"/>
      <c r="B1" s="297"/>
      <c r="C1" s="297"/>
      <c r="D1" s="297"/>
      <c r="E1" s="297"/>
      <c r="F1" s="990" t="s">
        <v>516</v>
      </c>
      <c r="G1" s="990"/>
      <c r="H1" s="990"/>
      <c r="I1" s="990"/>
      <c r="J1" s="990"/>
      <c r="K1" s="990"/>
      <c r="L1" s="990"/>
      <c r="M1" s="990"/>
      <c r="N1" s="990"/>
      <c r="O1" s="991"/>
      <c r="P1" s="593"/>
      <c r="Q1" s="594"/>
      <c r="R1" s="596"/>
      <c r="S1" s="593" t="s">
        <v>2</v>
      </c>
      <c r="T1" s="594"/>
      <c r="U1" s="595"/>
      <c r="X1" s="530" t="s">
        <v>450</v>
      </c>
      <c r="Y1" s="531"/>
      <c r="Z1" s="531"/>
      <c r="AA1" s="531"/>
      <c r="AB1" s="531"/>
      <c r="AC1" s="531"/>
      <c r="AD1" s="531"/>
      <c r="AE1" s="531"/>
      <c r="AF1" s="532"/>
    </row>
    <row r="2" spans="1:32" ht="21" customHeight="1" thickBot="1">
      <c r="A2" s="10"/>
      <c r="B2" s="11"/>
      <c r="C2" s="11"/>
      <c r="D2" s="11"/>
      <c r="E2" s="11"/>
      <c r="F2" s="992"/>
      <c r="G2" s="992"/>
      <c r="H2" s="992"/>
      <c r="I2" s="992"/>
      <c r="J2" s="992"/>
      <c r="K2" s="992"/>
      <c r="L2" s="992"/>
      <c r="M2" s="992"/>
      <c r="N2" s="992"/>
      <c r="O2" s="993"/>
      <c r="P2" s="585" t="s">
        <v>514</v>
      </c>
      <c r="Q2" s="586"/>
      <c r="R2" s="587"/>
      <c r="S2" s="486" t="s">
        <v>572</v>
      </c>
      <c r="T2" s="996"/>
      <c r="U2" s="997"/>
      <c r="X2" s="533"/>
      <c r="Y2" s="534"/>
      <c r="Z2" s="534"/>
      <c r="AA2" s="534"/>
      <c r="AB2" s="534"/>
      <c r="AC2" s="534"/>
      <c r="AD2" s="534"/>
      <c r="AE2" s="534"/>
      <c r="AF2" s="535"/>
    </row>
    <row r="3" spans="1:32" ht="15.95" customHeight="1">
      <c r="A3" s="293"/>
      <c r="B3" s="359"/>
      <c r="C3" s="359"/>
      <c r="D3" s="359"/>
      <c r="E3" s="359"/>
      <c r="F3" s="359"/>
      <c r="G3" s="359"/>
      <c r="H3" s="359"/>
      <c r="I3" s="359"/>
      <c r="J3" s="360"/>
      <c r="K3" s="360"/>
      <c r="L3" s="360"/>
      <c r="M3" s="360"/>
      <c r="N3" s="360"/>
      <c r="O3" s="361"/>
      <c r="P3" s="362"/>
      <c r="Q3" s="363"/>
      <c r="R3" s="363"/>
      <c r="S3" s="363"/>
      <c r="T3" s="363"/>
      <c r="U3" s="21"/>
      <c r="X3" s="566" t="s">
        <v>559</v>
      </c>
      <c r="Y3" s="567"/>
      <c r="Z3" s="567"/>
      <c r="AA3" s="567"/>
      <c r="AB3" s="567"/>
      <c r="AC3" s="567"/>
      <c r="AD3" s="567"/>
      <c r="AE3" s="567"/>
      <c r="AF3" s="568"/>
    </row>
    <row r="4" spans="1:32" ht="15.95" customHeight="1">
      <c r="A4" s="315" t="s">
        <v>4</v>
      </c>
      <c r="B4" s="606" t="s">
        <v>542</v>
      </c>
      <c r="C4" s="588"/>
      <c r="D4" s="588"/>
      <c r="E4" s="588"/>
      <c r="F4" s="588"/>
      <c r="G4" s="588"/>
      <c r="H4" s="588"/>
      <c r="I4" s="588"/>
      <c r="J4" s="588"/>
      <c r="K4" s="364"/>
      <c r="L4" s="364"/>
      <c r="M4" s="581" t="s">
        <v>5</v>
      </c>
      <c r="N4" s="581"/>
      <c r="O4" s="581"/>
      <c r="P4" s="605" t="str">
        <f>IF('Data Entry'!B8="","",'Data Entry'!B8)</f>
        <v/>
      </c>
      <c r="Q4" s="605"/>
      <c r="R4" s="605"/>
      <c r="S4" s="605"/>
      <c r="T4" s="605"/>
      <c r="U4" s="24"/>
      <c r="X4" s="569"/>
      <c r="Y4" s="570"/>
      <c r="Z4" s="570"/>
      <c r="AA4" s="570"/>
      <c r="AB4" s="570"/>
      <c r="AC4" s="570"/>
      <c r="AD4" s="570"/>
      <c r="AE4" s="570"/>
      <c r="AF4" s="571"/>
    </row>
    <row r="5" spans="1:32" ht="15.95" customHeight="1">
      <c r="A5" s="294"/>
      <c r="B5" s="588" t="str">
        <f>IF('Data Entry'!B19="","",'Data Entry'!B19)</f>
        <v/>
      </c>
      <c r="C5" s="588"/>
      <c r="D5" s="588"/>
      <c r="E5" s="588"/>
      <c r="F5" s="588"/>
      <c r="G5" s="588"/>
      <c r="H5" s="588"/>
      <c r="I5" s="588"/>
      <c r="J5" s="588"/>
      <c r="K5" s="364"/>
      <c r="L5" s="364"/>
      <c r="M5" s="581" t="s">
        <v>7</v>
      </c>
      <c r="N5" s="581"/>
      <c r="O5" s="581"/>
      <c r="P5" s="597"/>
      <c r="Q5" s="597"/>
      <c r="R5" s="597"/>
      <c r="S5" s="597"/>
      <c r="T5" s="597"/>
      <c r="U5" s="24"/>
      <c r="X5" s="569"/>
      <c r="Y5" s="570"/>
      <c r="Z5" s="570"/>
      <c r="AA5" s="570"/>
      <c r="AB5" s="570"/>
      <c r="AC5" s="570"/>
      <c r="AD5" s="570"/>
      <c r="AE5" s="570"/>
      <c r="AF5" s="571"/>
    </row>
    <row r="6" spans="1:32" ht="15.95" customHeight="1">
      <c r="A6" s="294"/>
      <c r="B6" s="588" t="str">
        <f>IF('Data Entry'!B29="","",'Data Entry'!B29)</f>
        <v/>
      </c>
      <c r="C6" s="588"/>
      <c r="D6" s="588"/>
      <c r="E6" s="588"/>
      <c r="F6" s="588"/>
      <c r="G6" s="588"/>
      <c r="H6" s="588"/>
      <c r="I6" s="588"/>
      <c r="J6" s="588"/>
      <c r="K6" s="364"/>
      <c r="L6" s="364"/>
      <c r="M6" s="581" t="s">
        <v>8</v>
      </c>
      <c r="N6" s="581"/>
      <c r="O6" s="581"/>
      <c r="P6" s="597" t="str">
        <f>IF('Data Entry'!B17="","",'Data Entry'!B17)</f>
        <v/>
      </c>
      <c r="Q6" s="597"/>
      <c r="R6" s="597"/>
      <c r="S6" s="597"/>
      <c r="T6" s="597"/>
      <c r="U6" s="24"/>
      <c r="W6" s="26"/>
      <c r="X6" s="569"/>
      <c r="Y6" s="570"/>
      <c r="Z6" s="570"/>
      <c r="AA6" s="570"/>
      <c r="AB6" s="570"/>
      <c r="AC6" s="570"/>
      <c r="AD6" s="570"/>
      <c r="AE6" s="570"/>
      <c r="AF6" s="571"/>
    </row>
    <row r="7" spans="1:32" ht="15.95" customHeight="1">
      <c r="A7" s="294"/>
      <c r="B7" s="588" t="str">
        <f>IF('Data Entry'!B33="","",'Data Entry'!B33)</f>
        <v/>
      </c>
      <c r="C7" s="588"/>
      <c r="D7" s="588"/>
      <c r="E7" s="588"/>
      <c r="F7" s="588"/>
      <c r="G7" s="588"/>
      <c r="H7" s="588"/>
      <c r="I7" s="588"/>
      <c r="J7" s="588"/>
      <c r="K7" s="364"/>
      <c r="L7" s="364"/>
      <c r="M7" s="581" t="s">
        <v>515</v>
      </c>
      <c r="N7" s="581"/>
      <c r="O7" s="581"/>
      <c r="P7" s="582" t="str">
        <f>IF('Data Entry'!B23="","",'Data Entry'!B23)</f>
        <v/>
      </c>
      <c r="Q7" s="582"/>
      <c r="R7" s="582"/>
      <c r="S7" s="582"/>
      <c r="T7" s="582"/>
      <c r="U7" s="24"/>
      <c r="X7" s="569"/>
      <c r="Y7" s="570"/>
      <c r="Z7" s="570"/>
      <c r="AA7" s="570"/>
      <c r="AB7" s="570"/>
      <c r="AC7" s="570"/>
      <c r="AD7" s="570"/>
      <c r="AE7" s="570"/>
      <c r="AF7" s="571"/>
    </row>
    <row r="8" spans="1:32" ht="15.95" customHeight="1">
      <c r="A8" s="293"/>
      <c r="B8" s="588" t="str">
        <f>IF('Data Entry'!B31="","",'Data Entry'!B31)</f>
        <v/>
      </c>
      <c r="C8" s="588"/>
      <c r="D8" s="588"/>
      <c r="E8" s="588"/>
      <c r="F8" s="588"/>
      <c r="G8" s="588"/>
      <c r="H8" s="588"/>
      <c r="I8" s="588"/>
      <c r="J8" s="588"/>
      <c r="K8" s="364"/>
      <c r="L8" s="364"/>
      <c r="M8" s="581" t="s">
        <v>9</v>
      </c>
      <c r="N8" s="581"/>
      <c r="O8" s="581"/>
      <c r="P8" s="582" t="s">
        <v>391</v>
      </c>
      <c r="Q8" s="582"/>
      <c r="R8" s="583"/>
      <c r="S8" s="583"/>
      <c r="T8" s="583"/>
      <c r="U8" s="24"/>
      <c r="X8" s="569"/>
      <c r="Y8" s="570"/>
      <c r="Z8" s="570"/>
      <c r="AA8" s="570"/>
      <c r="AB8" s="570"/>
      <c r="AC8" s="570"/>
      <c r="AD8" s="570"/>
      <c r="AE8" s="570"/>
      <c r="AF8" s="571"/>
    </row>
    <row r="9" spans="1:32" ht="15.95" customHeight="1">
      <c r="A9" s="293"/>
      <c r="B9" s="588" t="s">
        <v>566</v>
      </c>
      <c r="C9" s="588"/>
      <c r="D9" s="588"/>
      <c r="E9" s="588"/>
      <c r="F9" s="588"/>
      <c r="G9" s="588"/>
      <c r="H9" s="588"/>
      <c r="I9" s="588"/>
      <c r="J9" s="588"/>
      <c r="K9" s="364"/>
      <c r="L9" s="364"/>
      <c r="M9" s="364"/>
      <c r="N9" s="364"/>
      <c r="O9" s="364"/>
      <c r="P9" s="364"/>
      <c r="Q9" s="365"/>
      <c r="R9" s="365"/>
      <c r="S9" s="365"/>
      <c r="T9" s="365"/>
      <c r="U9" s="24"/>
      <c r="X9" s="569"/>
      <c r="Y9" s="570"/>
      <c r="Z9" s="570"/>
      <c r="AA9" s="570"/>
      <c r="AB9" s="570"/>
      <c r="AC9" s="570"/>
      <c r="AD9" s="570"/>
      <c r="AE9" s="570"/>
      <c r="AF9" s="571"/>
    </row>
    <row r="10" spans="1:32" ht="15.95" customHeight="1">
      <c r="A10" s="293"/>
      <c r="B10" s="380"/>
      <c r="C10" s="380"/>
      <c r="D10" s="380"/>
      <c r="E10" s="380"/>
      <c r="F10" s="380"/>
      <c r="G10" s="380"/>
      <c r="H10" s="380"/>
      <c r="I10" s="380"/>
      <c r="J10" s="380"/>
      <c r="K10" s="364"/>
      <c r="L10" s="364"/>
      <c r="M10" s="364"/>
      <c r="N10" s="364"/>
      <c r="O10" s="364"/>
      <c r="P10" s="364"/>
      <c r="Q10" s="365"/>
      <c r="R10" s="365"/>
      <c r="S10" s="365"/>
      <c r="T10" s="365"/>
      <c r="U10" s="24"/>
      <c r="X10" s="569"/>
      <c r="Y10" s="570"/>
      <c r="Z10" s="570"/>
      <c r="AA10" s="570"/>
      <c r="AB10" s="570"/>
      <c r="AC10" s="570"/>
      <c r="AD10" s="570"/>
      <c r="AE10" s="570"/>
      <c r="AF10" s="571"/>
    </row>
    <row r="11" spans="1:32" ht="15.95" customHeight="1" thickBot="1">
      <c r="A11" s="293"/>
      <c r="B11" s="366"/>
      <c r="C11" s="366"/>
      <c r="D11" s="364"/>
      <c r="E11" s="364"/>
      <c r="F11" s="364"/>
      <c r="G11" s="364"/>
      <c r="H11" s="369"/>
      <c r="I11" s="369"/>
      <c r="J11" s="369"/>
      <c r="K11" s="364"/>
      <c r="L11" s="364"/>
      <c r="M11" s="364"/>
      <c r="N11" s="364"/>
      <c r="O11" s="364"/>
      <c r="P11" s="364"/>
      <c r="Q11" s="365"/>
      <c r="R11" s="365"/>
      <c r="S11" s="365"/>
      <c r="T11" s="365"/>
      <c r="U11" s="24"/>
      <c r="X11" s="572"/>
      <c r="Y11" s="573"/>
      <c r="Z11" s="573"/>
      <c r="AA11" s="573"/>
      <c r="AB11" s="573"/>
      <c r="AC11" s="573"/>
      <c r="AD11" s="573"/>
      <c r="AE11" s="573"/>
      <c r="AF11" s="574"/>
    </row>
    <row r="12" spans="1:32" ht="15.95" customHeight="1">
      <c r="A12" s="407"/>
      <c r="B12" s="986" t="s">
        <v>149</v>
      </c>
      <c r="C12" s="986"/>
      <c r="D12" s="986"/>
      <c r="E12" s="986"/>
      <c r="F12" s="986"/>
      <c r="G12" s="986"/>
      <c r="H12" s="986"/>
      <c r="I12" s="986"/>
      <c r="J12" s="986"/>
      <c r="K12" s="986"/>
      <c r="L12" s="986"/>
      <c r="M12" s="986"/>
      <c r="N12" s="986"/>
      <c r="O12" s="986"/>
      <c r="P12" s="986"/>
      <c r="Q12" s="986"/>
      <c r="R12" s="986"/>
      <c r="S12" s="986"/>
      <c r="T12" s="986"/>
      <c r="U12" s="24"/>
    </row>
    <row r="13" spans="1:32" ht="15.95" customHeight="1">
      <c r="A13" s="407"/>
      <c r="B13" s="408"/>
      <c r="C13" s="408"/>
      <c r="D13" s="408"/>
      <c r="E13" s="408"/>
      <c r="F13" s="408"/>
      <c r="G13" s="408"/>
      <c r="H13" s="408"/>
      <c r="I13" s="408"/>
      <c r="J13" s="408"/>
      <c r="K13" s="408"/>
      <c r="L13" s="408"/>
      <c r="M13" s="408"/>
      <c r="N13" s="408"/>
      <c r="O13" s="408"/>
      <c r="P13" s="408"/>
      <c r="Q13" s="408"/>
      <c r="R13" s="408"/>
      <c r="S13" s="408"/>
      <c r="T13" s="408"/>
      <c r="U13" s="24"/>
    </row>
    <row r="14" spans="1:32" ht="15.95" customHeight="1">
      <c r="A14" s="407"/>
      <c r="B14" s="988"/>
      <c r="C14" s="988"/>
      <c r="D14" s="988"/>
      <c r="E14" s="988"/>
      <c r="F14" s="988"/>
      <c r="G14" s="988"/>
      <c r="H14" s="988"/>
      <c r="I14" s="988"/>
      <c r="J14" s="988"/>
      <c r="K14" s="988"/>
      <c r="L14" s="988"/>
      <c r="M14" s="988"/>
      <c r="N14" s="988"/>
      <c r="O14" s="988"/>
      <c r="P14" s="988"/>
      <c r="Q14" s="988"/>
      <c r="R14" s="988"/>
      <c r="S14" s="988"/>
      <c r="T14" s="988"/>
      <c r="U14" s="24"/>
    </row>
    <row r="15" spans="1:32" ht="15.95" customHeight="1">
      <c r="A15" s="407"/>
      <c r="B15" s="988"/>
      <c r="C15" s="988"/>
      <c r="D15" s="988"/>
      <c r="E15" s="988"/>
      <c r="F15" s="988"/>
      <c r="G15" s="988"/>
      <c r="H15" s="988"/>
      <c r="I15" s="988"/>
      <c r="J15" s="988"/>
      <c r="K15" s="988"/>
      <c r="L15" s="988"/>
      <c r="M15" s="988"/>
      <c r="N15" s="988"/>
      <c r="O15" s="988"/>
      <c r="P15" s="988"/>
      <c r="Q15" s="988"/>
      <c r="R15" s="988"/>
      <c r="S15" s="988"/>
      <c r="T15" s="988"/>
      <c r="U15" s="24"/>
    </row>
    <row r="16" spans="1:32" ht="15.95" customHeight="1">
      <c r="A16" s="407"/>
      <c r="B16" s="988"/>
      <c r="C16" s="988"/>
      <c r="D16" s="988"/>
      <c r="E16" s="988"/>
      <c r="F16" s="988"/>
      <c r="G16" s="988"/>
      <c r="H16" s="988"/>
      <c r="I16" s="988"/>
      <c r="J16" s="988"/>
      <c r="K16" s="988"/>
      <c r="L16" s="988"/>
      <c r="M16" s="988"/>
      <c r="N16" s="988"/>
      <c r="O16" s="988"/>
      <c r="P16" s="988"/>
      <c r="Q16" s="988"/>
      <c r="R16" s="988"/>
      <c r="S16" s="988"/>
      <c r="T16" s="988"/>
      <c r="U16" s="402"/>
    </row>
    <row r="17" spans="1:21" ht="15.95" customHeight="1">
      <c r="A17" s="407"/>
      <c r="B17" s="988"/>
      <c r="C17" s="988"/>
      <c r="D17" s="988"/>
      <c r="E17" s="988"/>
      <c r="F17" s="988"/>
      <c r="G17" s="988"/>
      <c r="H17" s="988"/>
      <c r="I17" s="988"/>
      <c r="J17" s="988"/>
      <c r="K17" s="988"/>
      <c r="L17" s="988"/>
      <c r="M17" s="988"/>
      <c r="N17" s="988"/>
      <c r="O17" s="988"/>
      <c r="P17" s="988"/>
      <c r="Q17" s="988"/>
      <c r="R17" s="988"/>
      <c r="S17" s="988"/>
      <c r="T17" s="988"/>
      <c r="U17" s="24"/>
    </row>
    <row r="18" spans="1:21" ht="15.95" customHeight="1">
      <c r="A18" s="407"/>
      <c r="B18" s="988"/>
      <c r="C18" s="988"/>
      <c r="D18" s="988"/>
      <c r="E18" s="988"/>
      <c r="F18" s="988"/>
      <c r="G18" s="988"/>
      <c r="H18" s="988"/>
      <c r="I18" s="988"/>
      <c r="J18" s="988"/>
      <c r="K18" s="988"/>
      <c r="L18" s="988"/>
      <c r="M18" s="988"/>
      <c r="N18" s="988"/>
      <c r="O18" s="988"/>
      <c r="P18" s="988"/>
      <c r="Q18" s="988"/>
      <c r="R18" s="988"/>
      <c r="S18" s="988"/>
      <c r="T18" s="988"/>
      <c r="U18" s="402"/>
    </row>
    <row r="19" spans="1:21" ht="15.95" customHeight="1">
      <c r="A19" s="407"/>
      <c r="B19" s="988"/>
      <c r="C19" s="988"/>
      <c r="D19" s="988"/>
      <c r="E19" s="988"/>
      <c r="F19" s="988"/>
      <c r="G19" s="988"/>
      <c r="H19" s="988"/>
      <c r="I19" s="988"/>
      <c r="J19" s="988"/>
      <c r="K19" s="988"/>
      <c r="L19" s="988"/>
      <c r="M19" s="988"/>
      <c r="N19" s="988"/>
      <c r="O19" s="988"/>
      <c r="P19" s="988"/>
      <c r="Q19" s="988"/>
      <c r="R19" s="988"/>
      <c r="S19" s="988"/>
      <c r="T19" s="988"/>
      <c r="U19" s="24"/>
    </row>
    <row r="20" spans="1:21" ht="15.95" customHeight="1">
      <c r="A20" s="407"/>
      <c r="B20" s="988"/>
      <c r="C20" s="988"/>
      <c r="D20" s="988"/>
      <c r="E20" s="988"/>
      <c r="F20" s="988"/>
      <c r="G20" s="988"/>
      <c r="H20" s="988"/>
      <c r="I20" s="988"/>
      <c r="J20" s="988"/>
      <c r="K20" s="988"/>
      <c r="L20" s="988"/>
      <c r="M20" s="988"/>
      <c r="N20" s="988"/>
      <c r="O20" s="988"/>
      <c r="P20" s="988"/>
      <c r="Q20" s="988"/>
      <c r="R20" s="988"/>
      <c r="S20" s="988"/>
      <c r="T20" s="988"/>
      <c r="U20" s="24"/>
    </row>
    <row r="21" spans="1:21" ht="15.95" customHeight="1">
      <c r="A21" s="407"/>
      <c r="B21" s="988"/>
      <c r="C21" s="988"/>
      <c r="D21" s="988"/>
      <c r="E21" s="988"/>
      <c r="F21" s="988"/>
      <c r="G21" s="988"/>
      <c r="H21" s="988"/>
      <c r="I21" s="988"/>
      <c r="J21" s="988"/>
      <c r="K21" s="988"/>
      <c r="L21" s="988"/>
      <c r="M21" s="988"/>
      <c r="N21" s="988"/>
      <c r="O21" s="988"/>
      <c r="P21" s="988"/>
      <c r="Q21" s="988"/>
      <c r="R21" s="988"/>
      <c r="S21" s="988"/>
      <c r="T21" s="988"/>
      <c r="U21" s="24"/>
    </row>
    <row r="22" spans="1:21" ht="15.95" customHeight="1">
      <c r="A22" s="407"/>
      <c r="B22" s="988"/>
      <c r="C22" s="988"/>
      <c r="D22" s="988"/>
      <c r="E22" s="988"/>
      <c r="F22" s="988"/>
      <c r="G22" s="988"/>
      <c r="H22" s="988"/>
      <c r="I22" s="988"/>
      <c r="J22" s="988"/>
      <c r="K22" s="988"/>
      <c r="L22" s="988"/>
      <c r="M22" s="988"/>
      <c r="N22" s="988"/>
      <c r="O22" s="988"/>
      <c r="P22" s="988"/>
      <c r="Q22" s="988"/>
      <c r="R22" s="988"/>
      <c r="S22" s="988"/>
      <c r="T22" s="988"/>
      <c r="U22" s="24"/>
    </row>
    <row r="23" spans="1:21" ht="15.95" customHeight="1">
      <c r="A23" s="407"/>
      <c r="B23" s="988"/>
      <c r="C23" s="988"/>
      <c r="D23" s="988"/>
      <c r="E23" s="988"/>
      <c r="F23" s="988"/>
      <c r="G23" s="988"/>
      <c r="H23" s="988"/>
      <c r="I23" s="988"/>
      <c r="J23" s="988"/>
      <c r="K23" s="988"/>
      <c r="L23" s="988"/>
      <c r="M23" s="988"/>
      <c r="N23" s="988"/>
      <c r="O23" s="988"/>
      <c r="P23" s="988"/>
      <c r="Q23" s="988"/>
      <c r="R23" s="988"/>
      <c r="S23" s="988"/>
      <c r="T23" s="988"/>
      <c r="U23" s="24"/>
    </row>
    <row r="24" spans="1:21" ht="15.95" customHeight="1">
      <c r="A24" s="407"/>
      <c r="B24" s="988"/>
      <c r="C24" s="988"/>
      <c r="D24" s="988"/>
      <c r="E24" s="988"/>
      <c r="F24" s="988"/>
      <c r="G24" s="988"/>
      <c r="H24" s="988"/>
      <c r="I24" s="988"/>
      <c r="J24" s="988"/>
      <c r="K24" s="988"/>
      <c r="L24" s="988"/>
      <c r="M24" s="988"/>
      <c r="N24" s="988"/>
      <c r="O24" s="988"/>
      <c r="P24" s="988"/>
      <c r="Q24" s="988"/>
      <c r="R24" s="988"/>
      <c r="S24" s="988"/>
      <c r="T24" s="988"/>
      <c r="U24" s="24"/>
    </row>
    <row r="25" spans="1:21" ht="15.95" customHeight="1">
      <c r="A25" s="407"/>
      <c r="B25" s="988"/>
      <c r="C25" s="988"/>
      <c r="D25" s="988"/>
      <c r="E25" s="988"/>
      <c r="F25" s="988"/>
      <c r="G25" s="988"/>
      <c r="H25" s="988"/>
      <c r="I25" s="988"/>
      <c r="J25" s="988"/>
      <c r="K25" s="988"/>
      <c r="L25" s="988"/>
      <c r="M25" s="988"/>
      <c r="N25" s="988"/>
      <c r="O25" s="988"/>
      <c r="P25" s="988"/>
      <c r="Q25" s="988"/>
      <c r="R25" s="988"/>
      <c r="S25" s="988"/>
      <c r="T25" s="988"/>
      <c r="U25" s="24"/>
    </row>
    <row r="26" spans="1:21" ht="15.95" customHeight="1">
      <c r="A26" s="407"/>
      <c r="B26" s="988"/>
      <c r="C26" s="988"/>
      <c r="D26" s="988"/>
      <c r="E26" s="988"/>
      <c r="F26" s="988"/>
      <c r="G26" s="988"/>
      <c r="H26" s="988"/>
      <c r="I26" s="988"/>
      <c r="J26" s="988"/>
      <c r="K26" s="988"/>
      <c r="L26" s="988"/>
      <c r="M26" s="988"/>
      <c r="N26" s="988"/>
      <c r="O26" s="988"/>
      <c r="P26" s="988"/>
      <c r="Q26" s="988"/>
      <c r="R26" s="988"/>
      <c r="S26" s="988"/>
      <c r="T26" s="988"/>
      <c r="U26" s="270"/>
    </row>
    <row r="27" spans="1:21" ht="15.95" customHeight="1">
      <c r="A27" s="407"/>
      <c r="B27" s="988"/>
      <c r="C27" s="988"/>
      <c r="D27" s="988"/>
      <c r="E27" s="988"/>
      <c r="F27" s="988"/>
      <c r="G27" s="988"/>
      <c r="H27" s="988"/>
      <c r="I27" s="988"/>
      <c r="J27" s="988"/>
      <c r="K27" s="988"/>
      <c r="L27" s="988"/>
      <c r="M27" s="988"/>
      <c r="N27" s="988"/>
      <c r="O27" s="988"/>
      <c r="P27" s="988"/>
      <c r="Q27" s="988"/>
      <c r="R27" s="988"/>
      <c r="S27" s="988"/>
      <c r="T27" s="988"/>
      <c r="U27" s="270"/>
    </row>
    <row r="28" spans="1:21" ht="15.95" customHeight="1">
      <c r="A28" s="407"/>
      <c r="B28" s="988"/>
      <c r="C28" s="988"/>
      <c r="D28" s="988"/>
      <c r="E28" s="988"/>
      <c r="F28" s="988"/>
      <c r="G28" s="988"/>
      <c r="H28" s="988"/>
      <c r="I28" s="988"/>
      <c r="J28" s="988"/>
      <c r="K28" s="988"/>
      <c r="L28" s="988"/>
      <c r="M28" s="988"/>
      <c r="N28" s="988"/>
      <c r="O28" s="988"/>
      <c r="P28" s="988"/>
      <c r="Q28" s="988"/>
      <c r="R28" s="988"/>
      <c r="S28" s="988"/>
      <c r="T28" s="988"/>
      <c r="U28" s="270"/>
    </row>
    <row r="29" spans="1:21" ht="15.95" customHeight="1">
      <c r="A29" s="407"/>
      <c r="B29" s="988"/>
      <c r="C29" s="988"/>
      <c r="D29" s="988"/>
      <c r="E29" s="988"/>
      <c r="F29" s="988"/>
      <c r="G29" s="988"/>
      <c r="H29" s="988"/>
      <c r="I29" s="988"/>
      <c r="J29" s="988"/>
      <c r="K29" s="988"/>
      <c r="L29" s="988"/>
      <c r="M29" s="988"/>
      <c r="N29" s="988"/>
      <c r="O29" s="988"/>
      <c r="P29" s="988"/>
      <c r="Q29" s="988"/>
      <c r="R29" s="988"/>
      <c r="S29" s="988"/>
      <c r="T29" s="988"/>
      <c r="U29" s="24"/>
    </row>
    <row r="30" spans="1:21" ht="15.95" customHeight="1">
      <c r="A30" s="407"/>
      <c r="B30" s="988"/>
      <c r="C30" s="988"/>
      <c r="D30" s="988"/>
      <c r="E30" s="988"/>
      <c r="F30" s="988"/>
      <c r="G30" s="988"/>
      <c r="H30" s="988"/>
      <c r="I30" s="988"/>
      <c r="J30" s="988"/>
      <c r="K30" s="988"/>
      <c r="L30" s="988"/>
      <c r="M30" s="988"/>
      <c r="N30" s="988"/>
      <c r="O30" s="988"/>
      <c r="P30" s="988"/>
      <c r="Q30" s="988"/>
      <c r="R30" s="988"/>
      <c r="S30" s="988"/>
      <c r="T30" s="988"/>
      <c r="U30" s="24"/>
    </row>
    <row r="31" spans="1:21" ht="15.95" customHeight="1">
      <c r="A31" s="407"/>
      <c r="B31" s="988"/>
      <c r="C31" s="988"/>
      <c r="D31" s="988"/>
      <c r="E31" s="988"/>
      <c r="F31" s="988"/>
      <c r="G31" s="988"/>
      <c r="H31" s="988"/>
      <c r="I31" s="988"/>
      <c r="J31" s="988"/>
      <c r="K31" s="988"/>
      <c r="L31" s="988"/>
      <c r="M31" s="988"/>
      <c r="N31" s="988"/>
      <c r="O31" s="988"/>
      <c r="P31" s="988"/>
      <c r="Q31" s="988"/>
      <c r="R31" s="988"/>
      <c r="S31" s="988"/>
      <c r="T31" s="988"/>
      <c r="U31" s="24"/>
    </row>
    <row r="32" spans="1:21" ht="15.95" customHeight="1">
      <c r="A32" s="407"/>
      <c r="B32" s="988"/>
      <c r="C32" s="988"/>
      <c r="D32" s="988"/>
      <c r="E32" s="988"/>
      <c r="F32" s="988"/>
      <c r="G32" s="988"/>
      <c r="H32" s="988"/>
      <c r="I32" s="988"/>
      <c r="J32" s="988"/>
      <c r="K32" s="988"/>
      <c r="L32" s="988"/>
      <c r="M32" s="988"/>
      <c r="N32" s="988"/>
      <c r="O32" s="988"/>
      <c r="P32" s="988"/>
      <c r="Q32" s="988"/>
      <c r="R32" s="988"/>
      <c r="S32" s="988"/>
      <c r="T32" s="988"/>
      <c r="U32" s="24"/>
    </row>
    <row r="33" spans="1:21" ht="15.95" customHeight="1">
      <c r="A33" s="407"/>
      <c r="B33" s="988"/>
      <c r="C33" s="988"/>
      <c r="D33" s="988"/>
      <c r="E33" s="988"/>
      <c r="F33" s="988"/>
      <c r="G33" s="988"/>
      <c r="H33" s="988"/>
      <c r="I33" s="988"/>
      <c r="J33" s="988"/>
      <c r="K33" s="988"/>
      <c r="L33" s="988"/>
      <c r="M33" s="988"/>
      <c r="N33" s="988"/>
      <c r="O33" s="988"/>
      <c r="P33" s="988"/>
      <c r="Q33" s="988"/>
      <c r="R33" s="988"/>
      <c r="S33" s="988"/>
      <c r="T33" s="988"/>
      <c r="U33" s="24"/>
    </row>
    <row r="34" spans="1:21" ht="15.95" customHeight="1">
      <c r="A34" s="293"/>
      <c r="B34" s="988"/>
      <c r="C34" s="988"/>
      <c r="D34" s="988"/>
      <c r="E34" s="988"/>
      <c r="F34" s="988"/>
      <c r="G34" s="988"/>
      <c r="H34" s="988"/>
      <c r="I34" s="988"/>
      <c r="J34" s="988"/>
      <c r="K34" s="988"/>
      <c r="L34" s="988"/>
      <c r="M34" s="988"/>
      <c r="N34" s="988"/>
      <c r="O34" s="988"/>
      <c r="P34" s="988"/>
      <c r="Q34" s="988"/>
      <c r="R34" s="988"/>
      <c r="S34" s="988"/>
      <c r="T34" s="988"/>
      <c r="U34" s="24"/>
    </row>
    <row r="35" spans="1:21" ht="15.95" customHeight="1">
      <c r="A35" s="293"/>
      <c r="B35" s="988"/>
      <c r="C35" s="988"/>
      <c r="D35" s="988"/>
      <c r="E35" s="988"/>
      <c r="F35" s="988"/>
      <c r="G35" s="988"/>
      <c r="H35" s="988"/>
      <c r="I35" s="988"/>
      <c r="J35" s="988"/>
      <c r="K35" s="988"/>
      <c r="L35" s="988"/>
      <c r="M35" s="988"/>
      <c r="N35" s="988"/>
      <c r="O35" s="988"/>
      <c r="P35" s="988"/>
      <c r="Q35" s="988"/>
      <c r="R35" s="988"/>
      <c r="S35" s="988"/>
      <c r="T35" s="988"/>
      <c r="U35" s="24"/>
    </row>
    <row r="36" spans="1:21" ht="15.95" customHeight="1">
      <c r="A36" s="293"/>
      <c r="B36" s="988"/>
      <c r="C36" s="988"/>
      <c r="D36" s="988"/>
      <c r="E36" s="988"/>
      <c r="F36" s="988"/>
      <c r="G36" s="988"/>
      <c r="H36" s="988"/>
      <c r="I36" s="988"/>
      <c r="J36" s="988"/>
      <c r="K36" s="988"/>
      <c r="L36" s="988"/>
      <c r="M36" s="988"/>
      <c r="N36" s="988"/>
      <c r="O36" s="988"/>
      <c r="P36" s="988"/>
      <c r="Q36" s="988"/>
      <c r="R36" s="988"/>
      <c r="S36" s="988"/>
      <c r="T36" s="988"/>
      <c r="U36" s="24"/>
    </row>
    <row r="37" spans="1:21" ht="15.95" customHeight="1">
      <c r="A37" s="293"/>
      <c r="B37" s="988"/>
      <c r="C37" s="988"/>
      <c r="D37" s="988"/>
      <c r="E37" s="988"/>
      <c r="F37" s="988"/>
      <c r="G37" s="988"/>
      <c r="H37" s="988"/>
      <c r="I37" s="988"/>
      <c r="J37" s="988"/>
      <c r="K37" s="988"/>
      <c r="L37" s="988"/>
      <c r="M37" s="988"/>
      <c r="N37" s="988"/>
      <c r="O37" s="988"/>
      <c r="P37" s="988"/>
      <c r="Q37" s="988"/>
      <c r="R37" s="988"/>
      <c r="S37" s="988"/>
      <c r="T37" s="988"/>
      <c r="U37" s="24"/>
    </row>
    <row r="38" spans="1:21" ht="15.95" customHeight="1">
      <c r="A38" s="293"/>
      <c r="B38" s="988"/>
      <c r="C38" s="988"/>
      <c r="D38" s="988"/>
      <c r="E38" s="988"/>
      <c r="F38" s="988"/>
      <c r="G38" s="988"/>
      <c r="H38" s="988"/>
      <c r="I38" s="988"/>
      <c r="J38" s="988"/>
      <c r="K38" s="988"/>
      <c r="L38" s="988"/>
      <c r="M38" s="988"/>
      <c r="N38" s="988"/>
      <c r="O38" s="988"/>
      <c r="P38" s="988"/>
      <c r="Q38" s="988"/>
      <c r="R38" s="988"/>
      <c r="S38" s="988"/>
      <c r="T38" s="988"/>
      <c r="U38" s="24"/>
    </row>
    <row r="39" spans="1:21" ht="15.95" customHeight="1">
      <c r="A39" s="293"/>
      <c r="B39" s="410"/>
      <c r="C39" s="410"/>
      <c r="D39" s="410"/>
      <c r="E39" s="410"/>
      <c r="F39" s="410"/>
      <c r="G39" s="410"/>
      <c r="H39" s="410"/>
      <c r="I39" s="410"/>
      <c r="J39" s="410"/>
      <c r="K39" s="410"/>
      <c r="L39" s="410"/>
      <c r="M39" s="410"/>
      <c r="N39" s="410"/>
      <c r="O39" s="410"/>
      <c r="P39" s="410"/>
      <c r="Q39" s="410"/>
      <c r="R39" s="410"/>
      <c r="S39" s="410"/>
      <c r="T39" s="410"/>
      <c r="U39" s="24"/>
    </row>
    <row r="40" spans="1:21" ht="15.95" customHeight="1">
      <c r="A40" s="293"/>
      <c r="B40" s="369"/>
      <c r="C40" s="369"/>
      <c r="D40" s="369"/>
      <c r="E40" s="369"/>
      <c r="F40" s="369"/>
      <c r="G40" s="369"/>
      <c r="H40" s="400"/>
      <c r="I40" s="400"/>
      <c r="J40" s="400"/>
      <c r="K40" s="400"/>
      <c r="L40" s="400"/>
      <c r="M40" s="400"/>
      <c r="N40" s="400"/>
      <c r="O40" s="400"/>
      <c r="P40" s="400"/>
      <c r="Q40" s="400"/>
      <c r="R40" s="400"/>
      <c r="S40" s="400"/>
      <c r="T40" s="400"/>
      <c r="U40" s="24"/>
    </row>
    <row r="41" spans="1:21" ht="15.95" customHeight="1">
      <c r="A41" s="293"/>
      <c r="B41" s="989" t="s">
        <v>164</v>
      </c>
      <c r="C41" s="989"/>
      <c r="D41" s="989"/>
      <c r="E41" s="989"/>
      <c r="F41" s="989"/>
      <c r="G41" s="989"/>
      <c r="H41" s="989"/>
      <c r="I41" s="989"/>
      <c r="J41" s="989"/>
      <c r="K41" s="989"/>
      <c r="L41" s="989"/>
      <c r="M41" s="989"/>
      <c r="N41" s="989"/>
      <c r="O41" s="989"/>
      <c r="P41" s="989"/>
      <c r="Q41" s="989"/>
      <c r="R41" s="989"/>
      <c r="S41" s="989"/>
      <c r="T41" s="989"/>
      <c r="U41" s="24"/>
    </row>
    <row r="42" spans="1:21" ht="15.95" customHeight="1">
      <c r="A42" s="293"/>
      <c r="B42" s="989"/>
      <c r="C42" s="989"/>
      <c r="D42" s="989"/>
      <c r="E42" s="989"/>
      <c r="F42" s="989"/>
      <c r="G42" s="989"/>
      <c r="H42" s="989"/>
      <c r="I42" s="989"/>
      <c r="J42" s="989"/>
      <c r="K42" s="989"/>
      <c r="L42" s="989"/>
      <c r="M42" s="989"/>
      <c r="N42" s="989"/>
      <c r="O42" s="989"/>
      <c r="P42" s="989"/>
      <c r="Q42" s="989"/>
      <c r="R42" s="989"/>
      <c r="S42" s="989"/>
      <c r="T42" s="989"/>
      <c r="U42" s="24"/>
    </row>
    <row r="43" spans="1:21" ht="15.95" customHeight="1">
      <c r="A43" s="293"/>
      <c r="B43" s="989"/>
      <c r="C43" s="989"/>
      <c r="D43" s="989"/>
      <c r="E43" s="989"/>
      <c r="F43" s="989"/>
      <c r="G43" s="989"/>
      <c r="H43" s="989"/>
      <c r="I43" s="989"/>
      <c r="J43" s="989"/>
      <c r="K43" s="989"/>
      <c r="L43" s="989"/>
      <c r="M43" s="989"/>
      <c r="N43" s="989"/>
      <c r="O43" s="989"/>
      <c r="P43" s="989"/>
      <c r="Q43" s="989"/>
      <c r="R43" s="989"/>
      <c r="S43" s="989"/>
      <c r="T43" s="989"/>
      <c r="U43" s="24"/>
    </row>
    <row r="44" spans="1:21" ht="15.95" customHeight="1">
      <c r="A44" s="293"/>
      <c r="B44" s="989"/>
      <c r="C44" s="989"/>
      <c r="D44" s="989"/>
      <c r="E44" s="989"/>
      <c r="F44" s="989"/>
      <c r="G44" s="989"/>
      <c r="H44" s="989"/>
      <c r="I44" s="989"/>
      <c r="J44" s="989"/>
      <c r="K44" s="989"/>
      <c r="L44" s="989"/>
      <c r="M44" s="989"/>
      <c r="N44" s="989"/>
      <c r="O44" s="989"/>
      <c r="P44" s="989"/>
      <c r="Q44" s="989"/>
      <c r="R44" s="989"/>
      <c r="S44" s="989"/>
      <c r="T44" s="989"/>
      <c r="U44" s="24"/>
    </row>
    <row r="45" spans="1:21" ht="15.95" customHeight="1">
      <c r="A45" s="293"/>
      <c r="B45" s="409"/>
      <c r="C45" s="409"/>
      <c r="D45" s="409"/>
      <c r="E45" s="409"/>
      <c r="F45" s="409"/>
      <c r="G45" s="409"/>
      <c r="H45" s="409"/>
      <c r="I45" s="409"/>
      <c r="J45" s="409"/>
      <c r="K45" s="409"/>
      <c r="L45" s="409"/>
      <c r="M45" s="409"/>
      <c r="N45" s="409"/>
      <c r="O45" s="409"/>
      <c r="P45" s="409"/>
      <c r="Q45" s="409"/>
      <c r="R45" s="409"/>
      <c r="S45" s="409"/>
      <c r="T45" s="409"/>
      <c r="U45" s="24"/>
    </row>
    <row r="46" spans="1:21" ht="15.95" customHeight="1">
      <c r="A46" s="293"/>
      <c r="B46" s="409"/>
      <c r="C46" s="409"/>
      <c r="D46" s="409"/>
      <c r="E46" s="409"/>
      <c r="F46" s="409"/>
      <c r="G46" s="409"/>
      <c r="H46" s="409"/>
      <c r="I46" s="409"/>
      <c r="J46" s="409"/>
      <c r="K46" s="409"/>
      <c r="L46" s="409"/>
      <c r="M46" s="409"/>
      <c r="N46" s="409"/>
      <c r="O46" s="409"/>
      <c r="P46" s="409"/>
      <c r="Q46" s="409"/>
      <c r="R46" s="409"/>
      <c r="S46" s="409"/>
      <c r="T46" s="409"/>
      <c r="U46" s="24"/>
    </row>
    <row r="47" spans="1:21" ht="15.95" customHeight="1">
      <c r="A47" s="293"/>
      <c r="B47" s="409"/>
      <c r="C47" s="409"/>
      <c r="D47" s="409"/>
      <c r="E47" s="409"/>
      <c r="F47" s="409"/>
      <c r="G47" s="409"/>
      <c r="H47" s="409"/>
      <c r="I47" s="409"/>
      <c r="J47" s="409"/>
      <c r="K47" s="409"/>
      <c r="L47" s="409"/>
      <c r="M47" s="409"/>
      <c r="N47" s="409"/>
      <c r="O47" s="409"/>
      <c r="P47" s="409"/>
      <c r="Q47" s="409"/>
      <c r="R47" s="409"/>
      <c r="S47" s="409"/>
      <c r="T47" s="409"/>
      <c r="U47" s="24"/>
    </row>
    <row r="48" spans="1:21" ht="15.95" customHeight="1">
      <c r="A48" s="293"/>
      <c r="B48" s="409"/>
      <c r="C48" s="409"/>
      <c r="D48" s="409"/>
      <c r="E48" s="409"/>
      <c r="F48" s="409"/>
      <c r="G48" s="409"/>
      <c r="H48" s="409"/>
      <c r="I48" s="409"/>
      <c r="J48" s="409"/>
      <c r="K48" s="409"/>
      <c r="L48" s="409"/>
      <c r="M48" s="409"/>
      <c r="N48" s="409"/>
      <c r="O48" s="409"/>
      <c r="P48" s="409"/>
      <c r="Q48" s="409"/>
      <c r="R48" s="409"/>
      <c r="S48" s="409"/>
      <c r="T48" s="409"/>
      <c r="U48" s="24"/>
    </row>
    <row r="49" spans="1:21" ht="15.95" customHeight="1">
      <c r="A49" s="293"/>
      <c r="B49" s="369"/>
      <c r="C49" s="369"/>
      <c r="D49" s="369"/>
      <c r="E49" s="369"/>
      <c r="F49" s="369"/>
      <c r="G49" s="369"/>
      <c r="H49" s="400"/>
      <c r="I49" s="400"/>
      <c r="J49" s="400"/>
      <c r="K49" s="400"/>
      <c r="L49" s="400"/>
      <c r="M49" s="400"/>
      <c r="N49" s="400"/>
      <c r="O49" s="369"/>
      <c r="P49" s="369"/>
      <c r="Q49" s="369"/>
      <c r="R49" s="369"/>
      <c r="S49" s="369"/>
      <c r="T49" s="369"/>
      <c r="U49" s="24"/>
    </row>
    <row r="50" spans="1:21" ht="15.95" customHeight="1">
      <c r="A50" s="293"/>
      <c r="B50" s="369"/>
      <c r="C50" s="369"/>
      <c r="D50" s="369"/>
      <c r="E50" s="369"/>
      <c r="F50" s="369"/>
      <c r="G50" s="369"/>
      <c r="H50" s="400"/>
      <c r="I50" s="400"/>
      <c r="J50" s="400"/>
      <c r="K50" s="400"/>
      <c r="L50" s="400"/>
      <c r="M50" s="400"/>
      <c r="N50" s="400"/>
      <c r="O50" s="973">
        <f>'Data Entry'!B35</f>
        <v>0</v>
      </c>
      <c r="P50" s="973"/>
      <c r="Q50" s="973"/>
      <c r="R50" s="973"/>
      <c r="S50" s="973"/>
      <c r="T50" s="973"/>
      <c r="U50" s="24"/>
    </row>
    <row r="51" spans="1:21" ht="15.95" customHeight="1">
      <c r="A51" s="293"/>
      <c r="B51" s="369"/>
      <c r="C51" s="369"/>
      <c r="D51" s="369"/>
      <c r="E51" s="369"/>
      <c r="F51" s="369"/>
      <c r="G51" s="369"/>
      <c r="H51" s="400"/>
      <c r="I51" s="400"/>
      <c r="J51" s="400"/>
      <c r="K51" s="400"/>
      <c r="L51" s="400"/>
      <c r="M51" s="400"/>
      <c r="N51" s="400"/>
      <c r="O51" s="971" t="s">
        <v>23</v>
      </c>
      <c r="P51" s="974"/>
      <c r="Q51" s="974"/>
      <c r="R51" s="974"/>
      <c r="S51" s="974"/>
      <c r="T51" s="974"/>
      <c r="U51" s="24"/>
    </row>
    <row r="52" spans="1:21" ht="15.95" customHeight="1">
      <c r="A52" s="293"/>
      <c r="B52" s="400"/>
      <c r="C52" s="400"/>
      <c r="D52" s="400"/>
      <c r="E52" s="400"/>
      <c r="F52" s="400"/>
      <c r="G52" s="400"/>
      <c r="H52" s="400"/>
      <c r="I52" s="400"/>
      <c r="J52" s="400"/>
      <c r="K52" s="400"/>
      <c r="L52" s="400"/>
      <c r="M52" s="400"/>
      <c r="N52" s="400"/>
      <c r="O52" s="400"/>
      <c r="P52" s="400"/>
      <c r="Q52" s="400"/>
      <c r="R52" s="400"/>
      <c r="S52" s="400"/>
      <c r="T52" s="400"/>
      <c r="U52" s="24"/>
    </row>
    <row r="53" spans="1:21" ht="15.95" customHeight="1">
      <c r="A53" s="293"/>
      <c r="B53" s="400"/>
      <c r="C53" s="400"/>
      <c r="D53" s="400"/>
      <c r="E53" s="400"/>
      <c r="F53" s="400"/>
      <c r="G53" s="400"/>
      <c r="H53" s="400"/>
      <c r="I53" s="400"/>
      <c r="J53" s="400"/>
      <c r="K53" s="400"/>
      <c r="L53" s="400"/>
      <c r="M53" s="400"/>
      <c r="N53" s="400"/>
      <c r="O53" s="400"/>
      <c r="P53" s="400"/>
      <c r="Q53" s="400"/>
      <c r="R53" s="400"/>
      <c r="S53" s="400"/>
      <c r="T53" s="400"/>
      <c r="U53" s="24"/>
    </row>
    <row r="54" spans="1:21" ht="15.95" customHeight="1">
      <c r="A54" s="293"/>
      <c r="B54" s="400"/>
      <c r="C54" s="400"/>
      <c r="D54" s="400"/>
      <c r="E54" s="400"/>
      <c r="F54" s="400"/>
      <c r="G54" s="400"/>
      <c r="H54" s="400"/>
      <c r="I54" s="400"/>
      <c r="J54" s="400"/>
      <c r="K54" s="400"/>
      <c r="L54" s="400"/>
      <c r="M54" s="400"/>
      <c r="N54" s="400"/>
      <c r="O54" s="400"/>
      <c r="P54" s="400"/>
      <c r="Q54" s="400"/>
      <c r="R54" s="400"/>
      <c r="S54" s="400"/>
      <c r="T54" s="400"/>
      <c r="U54" s="24"/>
    </row>
    <row r="55" spans="1:21" ht="15.95" customHeight="1">
      <c r="A55" s="293"/>
      <c r="B55" s="400"/>
      <c r="C55" s="400"/>
      <c r="D55" s="400"/>
      <c r="E55" s="400"/>
      <c r="F55" s="400"/>
      <c r="G55" s="400"/>
      <c r="H55" s="400"/>
      <c r="I55" s="400"/>
      <c r="J55" s="400"/>
      <c r="K55" s="400"/>
      <c r="L55" s="400"/>
      <c r="M55" s="400"/>
      <c r="N55" s="400"/>
      <c r="O55" s="400"/>
      <c r="P55" s="400"/>
      <c r="Q55" s="400"/>
      <c r="R55" s="400"/>
      <c r="S55" s="400"/>
      <c r="T55" s="400"/>
      <c r="U55" s="24"/>
    </row>
    <row r="56" spans="1:21" ht="15.95" customHeight="1">
      <c r="A56" s="293"/>
      <c r="B56" s="369"/>
      <c r="C56" s="400"/>
      <c r="D56" s="400"/>
      <c r="E56" s="400"/>
      <c r="F56" s="400"/>
      <c r="G56" s="400"/>
      <c r="H56" s="400"/>
      <c r="I56" s="400"/>
      <c r="J56" s="400"/>
      <c r="K56" s="400"/>
      <c r="L56" s="400"/>
      <c r="M56" s="400"/>
      <c r="N56" s="400"/>
      <c r="O56" s="400"/>
      <c r="P56" s="400"/>
      <c r="Q56" s="400"/>
      <c r="R56" s="400"/>
      <c r="S56" s="400"/>
      <c r="T56" s="400"/>
      <c r="U56" s="24"/>
    </row>
    <row r="57" spans="1:21" ht="15.95" customHeight="1">
      <c r="A57" s="293"/>
      <c r="B57" s="970" t="s">
        <v>142</v>
      </c>
      <c r="C57" s="970"/>
      <c r="D57" s="970"/>
      <c r="E57" s="970"/>
      <c r="F57" s="970"/>
      <c r="G57" s="970"/>
      <c r="H57" s="970"/>
      <c r="I57" s="970"/>
      <c r="J57" s="970"/>
      <c r="K57" s="970"/>
      <c r="L57" s="970"/>
      <c r="M57" s="970"/>
      <c r="N57" s="970"/>
      <c r="O57" s="970"/>
      <c r="P57" s="970"/>
      <c r="Q57" s="970"/>
      <c r="R57" s="970"/>
      <c r="S57" s="970"/>
      <c r="T57" s="970"/>
      <c r="U57" s="24"/>
    </row>
    <row r="58" spans="1:21" ht="15.95" customHeight="1">
      <c r="A58" s="293"/>
      <c r="B58" s="971" t="s">
        <v>143</v>
      </c>
      <c r="C58" s="971"/>
      <c r="D58" s="971"/>
      <c r="E58" s="971"/>
      <c r="F58" s="971"/>
      <c r="G58" s="971"/>
      <c r="H58" s="971"/>
      <c r="I58" s="971"/>
      <c r="J58" s="971"/>
      <c r="K58" s="971"/>
      <c r="L58" s="971"/>
      <c r="M58" s="971"/>
      <c r="N58" s="971"/>
      <c r="O58" s="971"/>
      <c r="P58" s="971"/>
      <c r="Q58" s="971"/>
      <c r="R58" s="971"/>
      <c r="S58" s="971"/>
      <c r="T58" s="971"/>
      <c r="U58" s="24"/>
    </row>
    <row r="59" spans="1:21" ht="15.95" customHeight="1" thickBot="1">
      <c r="A59" s="36"/>
      <c r="B59" s="37"/>
      <c r="C59" s="406"/>
      <c r="D59" s="406"/>
      <c r="E59" s="406"/>
      <c r="F59" s="406"/>
      <c r="G59" s="406"/>
      <c r="H59" s="406"/>
      <c r="I59" s="406"/>
      <c r="J59" s="406"/>
      <c r="K59" s="406"/>
      <c r="L59" s="406"/>
      <c r="M59" s="406"/>
      <c r="N59" s="406"/>
      <c r="O59" s="406"/>
      <c r="P59" s="406"/>
      <c r="Q59" s="406"/>
      <c r="R59" s="406"/>
      <c r="S59" s="406"/>
      <c r="T59" s="37"/>
      <c r="U59" s="38"/>
    </row>
  </sheetData>
  <mergeCells count="31">
    <mergeCell ref="F1:O2"/>
    <mergeCell ref="P1:R1"/>
    <mergeCell ref="S1:U1"/>
    <mergeCell ref="X1:AF2"/>
    <mergeCell ref="P2:R2"/>
    <mergeCell ref="S2:U2"/>
    <mergeCell ref="X3:AF11"/>
    <mergeCell ref="B4:J4"/>
    <mergeCell ref="M4:O4"/>
    <mergeCell ref="P4:T4"/>
    <mergeCell ref="B5:J5"/>
    <mergeCell ref="M5:O5"/>
    <mergeCell ref="P5:T5"/>
    <mergeCell ref="B6:J6"/>
    <mergeCell ref="M6:O6"/>
    <mergeCell ref="P6:T6"/>
    <mergeCell ref="B9:J9"/>
    <mergeCell ref="B12:T12"/>
    <mergeCell ref="B7:J7"/>
    <mergeCell ref="M7:O7"/>
    <mergeCell ref="P7:T7"/>
    <mergeCell ref="B8:J8"/>
    <mergeCell ref="M8:O8"/>
    <mergeCell ref="P8:Q8"/>
    <mergeCell ref="R8:T8"/>
    <mergeCell ref="B58:T58"/>
    <mergeCell ref="B14:T38"/>
    <mergeCell ref="B41:T44"/>
    <mergeCell ref="O50:T50"/>
    <mergeCell ref="O51:T51"/>
    <mergeCell ref="B57:T57"/>
  </mergeCells>
  <conditionalFormatting sqref="B4:J4">
    <cfRule type="cellIs" dxfId="1" priority="1" operator="equal">
      <formula>0</formula>
    </cfRule>
  </conditionalFormatting>
  <pageMargins left="3.937007874015748E-2" right="3.937007874015748E-2" top="0.74803149606299213" bottom="0.74803149606299213" header="0.31496062992125984" footer="0.31496062992125984"/>
  <pageSetup paperSize="9"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C51319F9-648E-4B85-AA6E-894F2A0A4A67}">
          <x14:formula1>
            <xm:f>'Data Entry'!$B$11:$C$11</xm:f>
          </x14:formula1>
          <xm:sqref>P5:T5</xm:sqref>
        </x14:dataValidation>
        <x14:dataValidation type="list" allowBlank="1" showInputMessage="1" showErrorMessage="1" xr:uid="{D78E0219-3EEA-4AEC-8396-FD0768D8B281}">
          <x14:formula1>
            <xm:f>'Data Entry'!$B$13:$C$13</xm:f>
          </x14:formula1>
          <xm:sqref>B4:J4</xm:sqref>
        </x14:dataValidation>
        <x14:dataValidation type="list" allowBlank="1" showInputMessage="1" showErrorMessage="1" xr:uid="{29D13E31-59FB-426A-BD0F-D81383D6C6A9}">
          <x14:formula1>
            <xm:f>'Data Entry'!$B$15:$C$15</xm:f>
          </x14:formula1>
          <xm:sqref>R8:T8</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5B84D-4D75-467B-9E3D-527BFDCE647E}">
  <sheetPr codeName="Feuil2">
    <tabColor rgb="FF00B050"/>
  </sheetPr>
  <dimension ref="A1:AF40"/>
  <sheetViews>
    <sheetView workbookViewId="0">
      <selection activeCell="V15" sqref="V15"/>
    </sheetView>
  </sheetViews>
  <sheetFormatPr baseColWidth="10" defaultColWidth="9" defaultRowHeight="12.75"/>
  <cols>
    <col min="1" max="20" width="4.85546875" style="1" customWidth="1"/>
    <col min="21" max="21" width="4.28515625" style="1" customWidth="1"/>
    <col min="23" max="23" width="4.85546875" customWidth="1"/>
    <col min="24" max="25" width="21.7109375" customWidth="1"/>
    <col min="26" max="26" width="21" customWidth="1"/>
    <col min="27" max="34" width="4.85546875" customWidth="1"/>
  </cols>
  <sheetData>
    <row r="1" spans="1:32" ht="21" customHeight="1">
      <c r="A1" s="358"/>
      <c r="B1" s="297"/>
      <c r="C1" s="297"/>
      <c r="D1" s="297"/>
      <c r="E1" s="297"/>
      <c r="F1" s="589" t="s">
        <v>403</v>
      </c>
      <c r="G1" s="589"/>
      <c r="H1" s="589"/>
      <c r="I1" s="589"/>
      <c r="J1" s="589"/>
      <c r="K1" s="589"/>
      <c r="L1" s="589"/>
      <c r="M1" s="589"/>
      <c r="N1" s="589"/>
      <c r="O1" s="590"/>
      <c r="P1" s="593"/>
      <c r="Q1" s="594"/>
      <c r="R1" s="596"/>
      <c r="S1" s="593" t="s">
        <v>2</v>
      </c>
      <c r="T1" s="594"/>
      <c r="U1" s="595"/>
      <c r="X1" s="530" t="s">
        <v>450</v>
      </c>
      <c r="Y1" s="531"/>
      <c r="Z1" s="531"/>
      <c r="AA1" s="531"/>
      <c r="AB1" s="531"/>
      <c r="AC1" s="531"/>
      <c r="AD1" s="531"/>
      <c r="AE1" s="531"/>
      <c r="AF1" s="532"/>
    </row>
    <row r="2" spans="1:32" ht="21" customHeight="1" thickBot="1">
      <c r="A2" s="10"/>
      <c r="B2" s="11"/>
      <c r="C2" s="11"/>
      <c r="D2" s="11"/>
      <c r="E2" s="11"/>
      <c r="F2" s="591"/>
      <c r="G2" s="591"/>
      <c r="H2" s="591"/>
      <c r="I2" s="591"/>
      <c r="J2" s="591"/>
      <c r="K2" s="591"/>
      <c r="L2" s="591"/>
      <c r="M2" s="591"/>
      <c r="N2" s="591"/>
      <c r="O2" s="592"/>
      <c r="P2" s="585" t="s">
        <v>514</v>
      </c>
      <c r="Q2" s="586"/>
      <c r="R2" s="587"/>
      <c r="S2" s="486" t="s">
        <v>572</v>
      </c>
      <c r="T2" s="996"/>
      <c r="U2" s="997"/>
      <c r="X2" s="1063"/>
      <c r="Y2" s="1064"/>
      <c r="Z2" s="1064"/>
      <c r="AA2" s="1064"/>
      <c r="AB2" s="1064"/>
      <c r="AC2" s="1064"/>
      <c r="AD2" s="1064"/>
      <c r="AE2" s="1064"/>
      <c r="AF2" s="1065"/>
    </row>
    <row r="3" spans="1:32" ht="15.95" customHeight="1">
      <c r="A3" s="308"/>
      <c r="B3" s="309"/>
      <c r="C3" s="309"/>
      <c r="D3" s="309"/>
      <c r="E3" s="309"/>
      <c r="F3" s="309"/>
      <c r="G3" s="309"/>
      <c r="H3" s="309"/>
      <c r="I3" s="309"/>
      <c r="J3" s="310"/>
      <c r="K3" s="310"/>
      <c r="L3" s="310"/>
      <c r="M3" s="310"/>
      <c r="N3" s="310"/>
      <c r="O3" s="311"/>
      <c r="P3" s="312"/>
      <c r="Q3" s="313"/>
      <c r="R3" s="313"/>
      <c r="S3" s="313"/>
      <c r="T3" s="313"/>
      <c r="U3" s="314"/>
      <c r="X3" s="566" t="s">
        <v>561</v>
      </c>
      <c r="Y3" s="567"/>
      <c r="Z3" s="567"/>
      <c r="AA3" s="567"/>
      <c r="AB3" s="567"/>
      <c r="AC3" s="567"/>
      <c r="AD3" s="567"/>
      <c r="AE3" s="567"/>
      <c r="AF3" s="568"/>
    </row>
    <row r="4" spans="1:32" ht="15.95" customHeight="1">
      <c r="A4" s="315" t="s">
        <v>4</v>
      </c>
      <c r="B4" s="606"/>
      <c r="C4" s="588"/>
      <c r="D4" s="588"/>
      <c r="E4" s="588"/>
      <c r="F4" s="588"/>
      <c r="G4" s="588"/>
      <c r="H4" s="588"/>
      <c r="I4" s="588"/>
      <c r="J4" s="588"/>
      <c r="K4" s="364"/>
      <c r="L4" s="364"/>
      <c r="M4" s="581" t="s">
        <v>5</v>
      </c>
      <c r="N4" s="581"/>
      <c r="O4" s="581"/>
      <c r="P4" s="605" t="str">
        <f>IF('Data Entry'!B8="","",'Data Entry'!B8)</f>
        <v/>
      </c>
      <c r="Q4" s="605"/>
      <c r="R4" s="605"/>
      <c r="S4" s="605"/>
      <c r="T4" s="605"/>
      <c r="U4" s="24"/>
      <c r="X4" s="569"/>
      <c r="Y4" s="570"/>
      <c r="Z4" s="570"/>
      <c r="AA4" s="570"/>
      <c r="AB4" s="570"/>
      <c r="AC4" s="570"/>
      <c r="AD4" s="570"/>
      <c r="AE4" s="570"/>
      <c r="AF4" s="571"/>
    </row>
    <row r="5" spans="1:32" ht="15.95" customHeight="1">
      <c r="A5" s="294"/>
      <c r="B5" s="588" t="str">
        <f>IF('Data Entry'!B19="","",'Data Entry'!B19)</f>
        <v/>
      </c>
      <c r="C5" s="588"/>
      <c r="D5" s="588"/>
      <c r="E5" s="588"/>
      <c r="F5" s="588"/>
      <c r="G5" s="588"/>
      <c r="H5" s="588"/>
      <c r="I5" s="588"/>
      <c r="J5" s="588"/>
      <c r="K5" s="364"/>
      <c r="L5" s="364"/>
      <c r="M5" s="581" t="s">
        <v>7</v>
      </c>
      <c r="N5" s="581"/>
      <c r="O5" s="581"/>
      <c r="P5" s="597"/>
      <c r="Q5" s="597"/>
      <c r="R5" s="597"/>
      <c r="S5" s="597"/>
      <c r="T5" s="597"/>
      <c r="U5" s="24"/>
      <c r="X5" s="569"/>
      <c r="Y5" s="570"/>
      <c r="Z5" s="570"/>
      <c r="AA5" s="570"/>
      <c r="AB5" s="570"/>
      <c r="AC5" s="570"/>
      <c r="AD5" s="570"/>
      <c r="AE5" s="570"/>
      <c r="AF5" s="571"/>
    </row>
    <row r="6" spans="1:32" ht="15.95" customHeight="1">
      <c r="A6" s="294"/>
      <c r="B6" s="588" t="str">
        <f>IF('Data Entry'!B29="","",'Data Entry'!B29)</f>
        <v/>
      </c>
      <c r="C6" s="588"/>
      <c r="D6" s="588"/>
      <c r="E6" s="588"/>
      <c r="F6" s="588"/>
      <c r="G6" s="588"/>
      <c r="H6" s="588"/>
      <c r="I6" s="588"/>
      <c r="J6" s="588"/>
      <c r="K6" s="364"/>
      <c r="L6" s="364"/>
      <c r="M6" s="581" t="s">
        <v>8</v>
      </c>
      <c r="N6" s="581"/>
      <c r="O6" s="581"/>
      <c r="P6" s="597" t="str">
        <f>IF('Data Entry'!B17="","",'Data Entry'!B17)</f>
        <v/>
      </c>
      <c r="Q6" s="597"/>
      <c r="R6" s="597"/>
      <c r="S6" s="597"/>
      <c r="T6" s="597"/>
      <c r="U6" s="24"/>
      <c r="W6" s="26"/>
      <c r="X6" s="569"/>
      <c r="Y6" s="570"/>
      <c r="Z6" s="570"/>
      <c r="AA6" s="570"/>
      <c r="AB6" s="570"/>
      <c r="AC6" s="570"/>
      <c r="AD6" s="570"/>
      <c r="AE6" s="570"/>
      <c r="AF6" s="571"/>
    </row>
    <row r="7" spans="1:32" ht="15.95" customHeight="1">
      <c r="A7" s="294"/>
      <c r="B7" s="588" t="str">
        <f>IF('Data Entry'!B33="","",'Data Entry'!B33)</f>
        <v/>
      </c>
      <c r="C7" s="588"/>
      <c r="D7" s="588"/>
      <c r="E7" s="588"/>
      <c r="F7" s="588"/>
      <c r="G7" s="588"/>
      <c r="H7" s="588"/>
      <c r="I7" s="588"/>
      <c r="J7" s="588"/>
      <c r="K7" s="364"/>
      <c r="L7" s="364"/>
      <c r="M7" s="581" t="s">
        <v>515</v>
      </c>
      <c r="N7" s="581"/>
      <c r="O7" s="581"/>
      <c r="P7" s="582" t="str">
        <f>IF('Data Entry'!B23="","",'Data Entry'!B23)</f>
        <v/>
      </c>
      <c r="Q7" s="582"/>
      <c r="R7" s="582"/>
      <c r="S7" s="582"/>
      <c r="T7" s="582"/>
      <c r="U7" s="24"/>
      <c r="X7" s="569"/>
      <c r="Y7" s="570"/>
      <c r="Z7" s="570"/>
      <c r="AA7" s="570"/>
      <c r="AB7" s="570"/>
      <c r="AC7" s="570"/>
      <c r="AD7" s="570"/>
      <c r="AE7" s="570"/>
      <c r="AF7" s="571"/>
    </row>
    <row r="8" spans="1:32" ht="15.95" customHeight="1">
      <c r="A8" s="293"/>
      <c r="B8" s="588" t="str">
        <f>IF('Data Entry'!B31="","",'Data Entry'!B31)</f>
        <v/>
      </c>
      <c r="C8" s="588"/>
      <c r="D8" s="588"/>
      <c r="E8" s="588"/>
      <c r="F8" s="588"/>
      <c r="G8" s="588"/>
      <c r="H8" s="588"/>
      <c r="I8" s="588"/>
      <c r="J8" s="588"/>
      <c r="K8" s="364"/>
      <c r="L8" s="364"/>
      <c r="M8" s="581" t="s">
        <v>9</v>
      </c>
      <c r="N8" s="581"/>
      <c r="O8" s="581"/>
      <c r="P8" s="582" t="s">
        <v>391</v>
      </c>
      <c r="Q8" s="582"/>
      <c r="R8" s="583"/>
      <c r="S8" s="583"/>
      <c r="T8" s="583"/>
      <c r="U8" s="24"/>
      <c r="X8" s="569"/>
      <c r="Y8" s="570"/>
      <c r="Z8" s="570"/>
      <c r="AA8" s="570"/>
      <c r="AB8" s="570"/>
      <c r="AC8" s="570"/>
      <c r="AD8" s="570"/>
      <c r="AE8" s="570"/>
      <c r="AF8" s="571"/>
    </row>
    <row r="9" spans="1:32" ht="15.95" customHeight="1">
      <c r="A9" s="293"/>
      <c r="B9" s="588" t="s">
        <v>566</v>
      </c>
      <c r="C9" s="588"/>
      <c r="D9" s="588"/>
      <c r="E9" s="588"/>
      <c r="F9" s="588"/>
      <c r="G9" s="588"/>
      <c r="H9" s="588"/>
      <c r="I9" s="588"/>
      <c r="J9" s="588"/>
      <c r="K9" s="364"/>
      <c r="L9" s="364"/>
      <c r="M9" s="364"/>
      <c r="N9" s="364"/>
      <c r="O9" s="364"/>
      <c r="P9" s="364"/>
      <c r="Q9" s="365"/>
      <c r="R9" s="365"/>
      <c r="S9" s="365"/>
      <c r="T9" s="365"/>
      <c r="U9" s="24"/>
      <c r="X9" s="569"/>
      <c r="Y9" s="570"/>
      <c r="Z9" s="570"/>
      <c r="AA9" s="570"/>
      <c r="AB9" s="570"/>
      <c r="AC9" s="570"/>
      <c r="AD9" s="570"/>
      <c r="AE9" s="570"/>
      <c r="AF9" s="571"/>
    </row>
    <row r="10" spans="1:32" ht="15.95" customHeight="1">
      <c r="A10" s="293"/>
      <c r="B10" s="380"/>
      <c r="C10" s="380"/>
      <c r="D10" s="380"/>
      <c r="E10" s="380"/>
      <c r="F10" s="380"/>
      <c r="G10" s="380"/>
      <c r="H10" s="380"/>
      <c r="I10" s="380"/>
      <c r="J10" s="380"/>
      <c r="K10" s="364"/>
      <c r="L10" s="364"/>
      <c r="M10" s="364"/>
      <c r="N10" s="364"/>
      <c r="O10" s="364"/>
      <c r="P10" s="364"/>
      <c r="Q10" s="365"/>
      <c r="R10" s="365"/>
      <c r="S10" s="365"/>
      <c r="T10" s="365"/>
      <c r="U10" s="24"/>
      <c r="X10" s="569"/>
      <c r="Y10" s="570"/>
      <c r="Z10" s="570"/>
      <c r="AA10" s="570"/>
      <c r="AB10" s="570"/>
      <c r="AC10" s="570"/>
      <c r="AD10" s="570"/>
      <c r="AE10" s="570"/>
      <c r="AF10" s="571"/>
    </row>
    <row r="11" spans="1:32" ht="15.95" customHeight="1" thickBot="1">
      <c r="A11" s="292"/>
      <c r="B11" s="376"/>
      <c r="C11" s="376"/>
      <c r="D11" s="376"/>
      <c r="E11" s="376"/>
      <c r="F11" s="376"/>
      <c r="G11" s="376"/>
      <c r="H11" s="376"/>
      <c r="I11" s="376"/>
      <c r="J11" s="376"/>
      <c r="K11" s="376"/>
      <c r="L11" s="376"/>
      <c r="M11" s="376"/>
      <c r="N11" s="376"/>
      <c r="O11" s="376"/>
      <c r="P11" s="376"/>
      <c r="Q11" s="376"/>
      <c r="R11" s="376"/>
      <c r="S11" s="376"/>
      <c r="T11" s="376"/>
      <c r="U11" s="270"/>
      <c r="X11" s="572"/>
      <c r="Y11" s="573"/>
      <c r="Z11" s="573"/>
      <c r="AA11" s="573"/>
      <c r="AB11" s="573"/>
      <c r="AC11" s="573"/>
      <c r="AD11" s="573"/>
      <c r="AE11" s="573"/>
      <c r="AF11" s="574"/>
    </row>
    <row r="12" spans="1:32" ht="15.95" customHeight="1">
      <c r="A12" s="292"/>
      <c r="B12" s="376"/>
      <c r="C12" s="376"/>
      <c r="D12" s="376"/>
      <c r="E12" s="376"/>
      <c r="F12" s="376"/>
      <c r="G12" s="376"/>
      <c r="H12" s="376"/>
      <c r="I12" s="376"/>
      <c r="J12" s="376"/>
      <c r="K12" s="376"/>
      <c r="L12" s="376"/>
      <c r="M12" s="376"/>
      <c r="N12" s="376"/>
      <c r="O12" s="376"/>
      <c r="P12" s="376"/>
      <c r="Q12" s="376"/>
      <c r="R12" s="376"/>
      <c r="S12" s="376"/>
      <c r="T12" s="376"/>
      <c r="U12" s="270"/>
    </row>
    <row r="13" spans="1:32" ht="15.95" customHeight="1">
      <c r="A13" s="292"/>
      <c r="B13" s="376"/>
      <c r="C13" s="376"/>
      <c r="D13" s="376"/>
      <c r="E13" s="376"/>
      <c r="F13" s="376"/>
      <c r="G13" s="376"/>
      <c r="H13" s="376"/>
      <c r="I13" s="376"/>
      <c r="J13" s="376"/>
      <c r="K13" s="376"/>
      <c r="L13" s="376"/>
      <c r="M13" s="376"/>
      <c r="N13" s="376"/>
      <c r="O13" s="376"/>
      <c r="P13" s="376"/>
      <c r="Q13" s="376"/>
      <c r="R13" s="376"/>
      <c r="S13" s="376"/>
      <c r="T13" s="376"/>
      <c r="U13" s="270"/>
    </row>
    <row r="14" spans="1:32" ht="15.95" customHeight="1">
      <c r="A14" s="292"/>
      <c r="B14" s="376"/>
      <c r="C14" s="376"/>
      <c r="D14" s="376"/>
      <c r="E14" s="376"/>
      <c r="F14" s="376"/>
      <c r="G14" s="376"/>
      <c r="H14" s="376"/>
      <c r="I14" s="376"/>
      <c r="J14" s="376"/>
      <c r="K14" s="376"/>
      <c r="L14" s="376"/>
      <c r="M14" s="376"/>
      <c r="N14" s="376"/>
      <c r="O14" s="376"/>
      <c r="P14" s="376"/>
      <c r="Q14" s="376"/>
      <c r="R14" s="376"/>
      <c r="S14" s="376"/>
      <c r="T14" s="376"/>
      <c r="U14" s="270"/>
    </row>
    <row r="15" spans="1:32" ht="15.95" customHeight="1">
      <c r="A15" s="292"/>
      <c r="B15" s="376"/>
      <c r="C15" s="376"/>
      <c r="D15" s="376"/>
      <c r="E15" s="376"/>
      <c r="F15" s="376"/>
      <c r="G15" s="376"/>
      <c r="H15" s="376"/>
      <c r="I15" s="376"/>
      <c r="J15" s="376"/>
      <c r="K15" s="376"/>
      <c r="L15" s="376"/>
      <c r="M15" s="376"/>
      <c r="N15" s="376"/>
      <c r="O15" s="376"/>
      <c r="P15" s="376"/>
      <c r="Q15" s="376"/>
      <c r="R15" s="376"/>
      <c r="S15" s="376"/>
      <c r="T15" s="376"/>
      <c r="U15" s="270"/>
    </row>
    <row r="16" spans="1:32" ht="15.95" customHeight="1">
      <c r="A16" s="292"/>
      <c r="B16" s="376"/>
      <c r="C16" s="376"/>
      <c r="D16" s="376"/>
      <c r="E16" s="376"/>
      <c r="F16" s="376"/>
      <c r="G16" s="376"/>
      <c r="H16" s="376"/>
      <c r="I16" s="376"/>
      <c r="J16" s="376"/>
      <c r="K16" s="376"/>
      <c r="L16" s="376"/>
      <c r="M16" s="376"/>
      <c r="N16" s="376"/>
      <c r="O16" s="376"/>
      <c r="P16" s="376"/>
      <c r="Q16" s="376"/>
      <c r="R16" s="376"/>
      <c r="S16" s="376"/>
      <c r="T16" s="376"/>
      <c r="U16" s="270"/>
    </row>
    <row r="17" spans="1:21" ht="15.95" customHeight="1">
      <c r="A17" s="292"/>
      <c r="B17" s="376"/>
      <c r="C17" s="376"/>
      <c r="D17" s="376"/>
      <c r="E17" s="376"/>
      <c r="F17" s="376"/>
      <c r="G17" s="376"/>
      <c r="H17" s="376"/>
      <c r="I17" s="376"/>
      <c r="J17" s="376"/>
      <c r="K17" s="376"/>
      <c r="L17" s="376"/>
      <c r="M17" s="376"/>
      <c r="N17" s="376"/>
      <c r="O17" s="376"/>
      <c r="P17" s="376"/>
      <c r="Q17" s="376"/>
      <c r="R17" s="376"/>
      <c r="S17" s="376"/>
      <c r="T17" s="376"/>
      <c r="U17" s="270"/>
    </row>
    <row r="18" spans="1:21" ht="15.95" customHeight="1">
      <c r="A18" s="292"/>
      <c r="B18" s="376"/>
      <c r="C18" s="376"/>
      <c r="D18" s="376"/>
      <c r="E18" s="376"/>
      <c r="F18" s="376"/>
      <c r="G18" s="376"/>
      <c r="H18" s="376"/>
      <c r="I18" s="376"/>
      <c r="J18" s="376"/>
      <c r="K18" s="376"/>
      <c r="L18" s="376"/>
      <c r="M18" s="376"/>
      <c r="N18" s="376"/>
      <c r="O18" s="376"/>
      <c r="P18" s="376"/>
      <c r="Q18" s="376"/>
      <c r="R18" s="376"/>
      <c r="S18" s="376"/>
      <c r="T18" s="376"/>
      <c r="U18" s="270"/>
    </row>
    <row r="19" spans="1:21" ht="15.95" customHeight="1">
      <c r="A19" s="292"/>
      <c r="B19" s="376"/>
      <c r="C19" s="376"/>
      <c r="D19" s="376"/>
      <c r="E19" s="376"/>
      <c r="F19" s="376"/>
      <c r="G19" s="376"/>
      <c r="H19" s="376"/>
      <c r="I19" s="376"/>
      <c r="J19" s="376"/>
      <c r="K19" s="376"/>
      <c r="L19" s="376"/>
      <c r="M19" s="376"/>
      <c r="N19" s="376"/>
      <c r="O19" s="376"/>
      <c r="P19" s="376"/>
      <c r="Q19" s="376"/>
      <c r="R19" s="376"/>
      <c r="S19" s="376"/>
      <c r="T19" s="376"/>
      <c r="U19" s="270"/>
    </row>
    <row r="20" spans="1:21" ht="15.95" customHeight="1">
      <c r="A20" s="292"/>
      <c r="B20" s="369"/>
      <c r="C20" s="369"/>
      <c r="D20" s="369"/>
      <c r="E20" s="369"/>
      <c r="F20" s="369"/>
      <c r="G20" s="369"/>
      <c r="H20" s="376"/>
      <c r="I20" s="376"/>
      <c r="J20" s="376"/>
      <c r="K20" s="376"/>
      <c r="L20" s="376"/>
      <c r="M20" s="376"/>
      <c r="N20" s="376"/>
      <c r="O20" s="376"/>
      <c r="P20" s="376"/>
      <c r="Q20" s="376"/>
      <c r="R20" s="376"/>
      <c r="S20" s="376"/>
      <c r="T20" s="376"/>
      <c r="U20" s="270"/>
    </row>
    <row r="21" spans="1:21" ht="15.95" customHeight="1">
      <c r="A21" s="292"/>
      <c r="B21" s="369"/>
      <c r="C21" s="369"/>
      <c r="D21" s="369"/>
      <c r="E21" s="369"/>
      <c r="F21" s="369"/>
      <c r="G21" s="369"/>
      <c r="H21" s="376"/>
      <c r="I21" s="376"/>
      <c r="J21" s="376"/>
      <c r="K21" s="376"/>
      <c r="L21" s="376"/>
      <c r="M21" s="376"/>
      <c r="N21" s="376"/>
      <c r="O21" s="376"/>
      <c r="P21" s="376"/>
      <c r="Q21" s="376"/>
      <c r="R21" s="376"/>
      <c r="S21" s="376"/>
      <c r="T21" s="376"/>
      <c r="U21" s="270"/>
    </row>
    <row r="22" spans="1:21" ht="15.95" customHeight="1">
      <c r="A22" s="292"/>
      <c r="B22" s="369"/>
      <c r="C22" s="369"/>
      <c r="D22" s="369"/>
      <c r="E22" s="369"/>
      <c r="F22" s="369"/>
      <c r="G22" s="369"/>
      <c r="H22" s="376"/>
      <c r="I22" s="376"/>
      <c r="J22" s="376"/>
      <c r="K22" s="376"/>
      <c r="L22" s="376"/>
      <c r="M22" s="376"/>
      <c r="N22" s="376"/>
      <c r="O22" s="376"/>
      <c r="P22" s="376"/>
      <c r="Q22" s="376"/>
      <c r="R22" s="376"/>
      <c r="S22" s="376"/>
      <c r="T22" s="376"/>
      <c r="U22" s="270"/>
    </row>
    <row r="23" spans="1:21" ht="15.95" customHeight="1">
      <c r="A23" s="292"/>
      <c r="B23" s="369"/>
      <c r="C23" s="369"/>
      <c r="D23" s="369"/>
      <c r="E23" s="369"/>
      <c r="F23" s="369"/>
      <c r="G23" s="369"/>
      <c r="H23" s="376"/>
      <c r="I23" s="376"/>
      <c r="J23" s="376"/>
      <c r="K23" s="376"/>
      <c r="L23" s="376"/>
      <c r="M23" s="376"/>
      <c r="N23" s="376"/>
      <c r="O23" s="376"/>
      <c r="P23" s="376"/>
      <c r="Q23" s="376"/>
      <c r="R23" s="376"/>
      <c r="S23" s="376"/>
      <c r="T23" s="376"/>
      <c r="U23" s="270"/>
    </row>
    <row r="24" spans="1:21" ht="15.95" customHeight="1">
      <c r="A24" s="293"/>
      <c r="B24" s="369"/>
      <c r="C24" s="369"/>
      <c r="D24" s="369"/>
      <c r="E24" s="369"/>
      <c r="F24" s="369"/>
      <c r="G24" s="369"/>
      <c r="H24" s="376"/>
      <c r="I24" s="376"/>
      <c r="J24" s="376"/>
      <c r="K24" s="376"/>
      <c r="L24" s="376"/>
      <c r="M24" s="376"/>
      <c r="N24" s="376"/>
      <c r="O24" s="376"/>
      <c r="P24" s="376"/>
      <c r="Q24" s="376"/>
      <c r="R24" s="376"/>
      <c r="S24" s="376"/>
      <c r="T24" s="376"/>
      <c r="U24" s="24"/>
    </row>
    <row r="25" spans="1:21" ht="15.95" customHeight="1">
      <c r="A25" s="293"/>
      <c r="B25" s="376"/>
      <c r="C25" s="376"/>
      <c r="D25" s="376"/>
      <c r="E25" s="376"/>
      <c r="F25" s="376"/>
      <c r="G25" s="376"/>
      <c r="H25" s="376"/>
      <c r="I25" s="376"/>
      <c r="J25" s="376"/>
      <c r="K25" s="376"/>
      <c r="L25" s="376"/>
      <c r="M25" s="376"/>
      <c r="N25" s="376"/>
      <c r="O25" s="376"/>
      <c r="P25" s="376"/>
      <c r="Q25" s="376"/>
      <c r="R25" s="376"/>
      <c r="S25" s="376"/>
      <c r="T25" s="376"/>
      <c r="U25" s="24"/>
    </row>
    <row r="26" spans="1:21" ht="15.95" customHeight="1">
      <c r="A26" s="292"/>
      <c r="B26" s="376"/>
      <c r="C26" s="376"/>
      <c r="D26" s="376"/>
      <c r="E26" s="376"/>
      <c r="F26" s="376"/>
      <c r="G26" s="376"/>
      <c r="H26" s="376"/>
      <c r="I26" s="376"/>
      <c r="J26" s="376"/>
      <c r="K26" s="376"/>
      <c r="L26" s="376"/>
      <c r="M26" s="376"/>
      <c r="N26" s="376"/>
      <c r="O26" s="376"/>
      <c r="P26" s="376"/>
      <c r="Q26" s="376"/>
      <c r="R26" s="376"/>
      <c r="S26" s="376"/>
      <c r="T26" s="376"/>
      <c r="U26" s="24"/>
    </row>
    <row r="27" spans="1:21" ht="15.95" customHeight="1">
      <c r="A27" s="292"/>
      <c r="B27" s="376"/>
      <c r="C27" s="376"/>
      <c r="D27" s="376"/>
      <c r="E27" s="376"/>
      <c r="F27" s="376"/>
      <c r="G27" s="376"/>
      <c r="H27" s="376"/>
      <c r="I27" s="376"/>
      <c r="J27" s="376"/>
      <c r="K27" s="376"/>
      <c r="L27" s="376"/>
      <c r="M27" s="376"/>
      <c r="N27" s="376"/>
      <c r="O27" s="376"/>
      <c r="P27" s="376"/>
      <c r="Q27" s="376"/>
      <c r="R27" s="376"/>
      <c r="S27" s="376"/>
      <c r="T27" s="376"/>
      <c r="U27" s="24"/>
    </row>
    <row r="28" spans="1:21" ht="15.95" customHeight="1">
      <c r="A28" s="292"/>
      <c r="B28" s="376"/>
      <c r="C28" s="376"/>
      <c r="D28" s="376"/>
      <c r="E28" s="376"/>
      <c r="F28" s="376"/>
      <c r="G28" s="376"/>
      <c r="H28" s="376"/>
      <c r="I28" s="376"/>
      <c r="J28" s="376"/>
      <c r="K28" s="376"/>
      <c r="L28" s="376"/>
      <c r="M28" s="376"/>
      <c r="N28" s="376"/>
      <c r="O28" s="375"/>
      <c r="P28" s="375"/>
      <c r="Q28" s="375"/>
      <c r="R28" s="375"/>
      <c r="S28" s="375"/>
      <c r="T28" s="375"/>
      <c r="U28" s="24"/>
    </row>
    <row r="29" spans="1:21" ht="15.95" customHeight="1">
      <c r="A29" s="292"/>
      <c r="B29" s="376"/>
      <c r="C29" s="376"/>
      <c r="D29" s="376"/>
      <c r="E29" s="376"/>
      <c r="F29" s="376"/>
      <c r="G29" s="376"/>
      <c r="H29" s="376"/>
      <c r="I29" s="376"/>
      <c r="J29" s="376"/>
      <c r="K29" s="376"/>
      <c r="L29" s="376"/>
      <c r="M29" s="376"/>
      <c r="N29" s="376"/>
      <c r="O29" s="375" t="s">
        <v>22</v>
      </c>
      <c r="P29" s="375"/>
      <c r="Q29" s="375"/>
      <c r="R29" s="375"/>
      <c r="S29" s="375"/>
      <c r="T29" s="375"/>
      <c r="U29" s="24"/>
    </row>
    <row r="30" spans="1:21" ht="15.95" customHeight="1">
      <c r="A30" s="292"/>
      <c r="B30" s="376"/>
      <c r="C30" s="376"/>
      <c r="D30" s="376"/>
      <c r="E30" s="376"/>
      <c r="F30" s="376"/>
      <c r="G30" s="376"/>
      <c r="H30" s="376"/>
      <c r="I30" s="376"/>
      <c r="J30" s="376"/>
      <c r="K30" s="376"/>
      <c r="L30" s="376"/>
      <c r="M30" s="376"/>
      <c r="N30" s="376"/>
      <c r="O30" s="375"/>
      <c r="P30" s="375"/>
      <c r="Q30" s="375"/>
      <c r="R30" s="375"/>
      <c r="S30" s="375"/>
      <c r="T30" s="375"/>
      <c r="U30" s="24"/>
    </row>
    <row r="31" spans="1:21" ht="15.95" customHeight="1">
      <c r="A31" s="292"/>
      <c r="B31" s="376"/>
      <c r="C31" s="376"/>
      <c r="D31" s="376"/>
      <c r="E31" s="376"/>
      <c r="F31" s="376"/>
      <c r="G31" s="376"/>
      <c r="H31" s="376"/>
      <c r="I31" s="376"/>
      <c r="J31" s="376"/>
      <c r="K31" s="376"/>
      <c r="L31" s="376"/>
      <c r="M31" s="376"/>
      <c r="N31" s="376"/>
      <c r="O31" s="604">
        <f>'Data Entry'!B35</f>
        <v>0</v>
      </c>
      <c r="P31" s="604"/>
      <c r="Q31" s="604"/>
      <c r="R31" s="604"/>
      <c r="S31" s="604"/>
      <c r="T31" s="604"/>
      <c r="U31" s="24"/>
    </row>
    <row r="32" spans="1:21" ht="15.95" customHeight="1">
      <c r="A32" s="292"/>
      <c r="B32" s="376"/>
      <c r="C32" s="376"/>
      <c r="D32" s="376"/>
      <c r="E32" s="376"/>
      <c r="F32" s="376"/>
      <c r="G32" s="376"/>
      <c r="H32" s="376"/>
      <c r="I32" s="376"/>
      <c r="J32" s="376"/>
      <c r="K32" s="376"/>
      <c r="L32" s="376"/>
      <c r="M32" s="376"/>
      <c r="N32" s="376"/>
      <c r="O32" s="602" t="s">
        <v>23</v>
      </c>
      <c r="P32" s="603"/>
      <c r="Q32" s="603"/>
      <c r="R32" s="603"/>
      <c r="S32" s="603"/>
      <c r="T32" s="603"/>
      <c r="U32" s="24"/>
    </row>
    <row r="33" spans="1:21" ht="15.95" customHeight="1">
      <c r="A33" s="292"/>
      <c r="B33" s="376"/>
      <c r="C33" s="376"/>
      <c r="D33" s="376"/>
      <c r="E33" s="376"/>
      <c r="F33" s="376"/>
      <c r="G33" s="376"/>
      <c r="H33" s="376"/>
      <c r="I33" s="376"/>
      <c r="J33" s="376"/>
      <c r="K33" s="376"/>
      <c r="L33" s="376"/>
      <c r="M33" s="376"/>
      <c r="N33" s="376"/>
      <c r="O33" s="376"/>
      <c r="P33" s="376"/>
      <c r="Q33" s="376"/>
      <c r="R33" s="376"/>
      <c r="S33" s="376"/>
      <c r="T33" s="376"/>
      <c r="U33" s="24"/>
    </row>
    <row r="34" spans="1:21" ht="15.95" customHeight="1">
      <c r="A34" s="292"/>
      <c r="B34" s="376"/>
      <c r="C34" s="376"/>
      <c r="D34" s="376"/>
      <c r="E34" s="376"/>
      <c r="F34" s="376"/>
      <c r="G34" s="376"/>
      <c r="H34" s="376"/>
      <c r="I34" s="376"/>
      <c r="J34" s="376"/>
      <c r="K34" s="376"/>
      <c r="L34" s="376"/>
      <c r="M34" s="376"/>
      <c r="N34" s="376"/>
      <c r="O34" s="376"/>
      <c r="P34" s="376"/>
      <c r="Q34" s="376"/>
      <c r="R34" s="376"/>
      <c r="S34" s="376"/>
      <c r="T34" s="376"/>
      <c r="U34" s="24"/>
    </row>
    <row r="35" spans="1:21" ht="15.95" customHeight="1">
      <c r="A35" s="293"/>
      <c r="B35" s="376"/>
      <c r="C35" s="376"/>
      <c r="D35" s="376"/>
      <c r="E35" s="376"/>
      <c r="F35" s="376"/>
      <c r="G35" s="376"/>
      <c r="H35" s="376"/>
      <c r="I35" s="376"/>
      <c r="J35" s="376"/>
      <c r="K35" s="376"/>
      <c r="L35" s="376"/>
      <c r="M35" s="376"/>
      <c r="N35" s="376"/>
      <c r="O35" s="376"/>
      <c r="P35" s="376"/>
      <c r="Q35" s="376"/>
      <c r="R35" s="376"/>
      <c r="S35" s="376"/>
      <c r="T35" s="376"/>
      <c r="U35" s="24"/>
    </row>
    <row r="36" spans="1:21" ht="15.95" customHeight="1">
      <c r="A36" s="293"/>
      <c r="B36" s="376"/>
      <c r="C36" s="376"/>
      <c r="D36" s="376"/>
      <c r="E36" s="376"/>
      <c r="F36" s="376"/>
      <c r="G36" s="376"/>
      <c r="H36" s="376"/>
      <c r="I36" s="376"/>
      <c r="J36" s="376"/>
      <c r="K36" s="376"/>
      <c r="L36" s="376"/>
      <c r="M36" s="376"/>
      <c r="N36" s="376"/>
      <c r="O36" s="376"/>
      <c r="P36" s="376"/>
      <c r="Q36" s="376"/>
      <c r="R36" s="376"/>
      <c r="S36" s="376"/>
      <c r="T36" s="376"/>
      <c r="U36" s="24"/>
    </row>
    <row r="37" spans="1:21" ht="15.95" customHeight="1">
      <c r="A37" s="293"/>
      <c r="B37" s="376"/>
      <c r="C37" s="376"/>
      <c r="D37" s="376"/>
      <c r="E37" s="376"/>
      <c r="F37" s="376"/>
      <c r="G37" s="376"/>
      <c r="H37" s="376"/>
      <c r="I37" s="376"/>
      <c r="J37" s="376"/>
      <c r="K37" s="376"/>
      <c r="L37" s="376"/>
      <c r="M37" s="376"/>
      <c r="N37" s="376"/>
      <c r="O37" s="376"/>
      <c r="P37" s="376"/>
      <c r="Q37" s="376"/>
      <c r="R37" s="376"/>
      <c r="S37" s="376"/>
      <c r="T37" s="376"/>
      <c r="U37" s="24"/>
    </row>
    <row r="38" spans="1:21" ht="15.95" customHeight="1">
      <c r="A38" s="293"/>
      <c r="B38" s="376"/>
      <c r="C38" s="376"/>
      <c r="D38" s="376"/>
      <c r="E38" s="376"/>
      <c r="F38" s="376"/>
      <c r="G38" s="376"/>
      <c r="H38" s="376"/>
      <c r="I38" s="376"/>
      <c r="J38" s="376"/>
      <c r="K38" s="376"/>
      <c r="L38" s="376"/>
      <c r="M38" s="376"/>
      <c r="N38" s="376"/>
      <c r="O38" s="376"/>
      <c r="P38" s="376"/>
      <c r="Q38" s="376"/>
      <c r="R38" s="376"/>
      <c r="S38" s="376"/>
      <c r="T38" s="376"/>
      <c r="U38" s="24"/>
    </row>
    <row r="39" spans="1:21" ht="15.95" customHeight="1">
      <c r="A39" s="293"/>
      <c r="B39" s="376"/>
      <c r="C39" s="376"/>
      <c r="D39" s="376"/>
      <c r="E39" s="376"/>
      <c r="F39" s="376"/>
      <c r="G39" s="376"/>
      <c r="H39" s="376"/>
      <c r="I39" s="376"/>
      <c r="J39" s="376"/>
      <c r="K39" s="376"/>
      <c r="L39" s="376"/>
      <c r="M39" s="376"/>
      <c r="N39" s="376"/>
      <c r="O39" s="376"/>
      <c r="P39" s="376"/>
      <c r="Q39" s="376"/>
      <c r="R39" s="376"/>
      <c r="S39" s="376"/>
      <c r="T39" s="376"/>
      <c r="U39" s="24"/>
    </row>
    <row r="40" spans="1:21" ht="15.95" customHeight="1" thickBot="1">
      <c r="A40" s="36"/>
      <c r="B40" s="37"/>
      <c r="C40" s="37"/>
      <c r="D40" s="37"/>
      <c r="E40" s="37"/>
      <c r="F40" s="37"/>
      <c r="G40" s="37"/>
      <c r="H40" s="37"/>
      <c r="I40" s="37"/>
      <c r="J40" s="37"/>
      <c r="K40" s="37"/>
      <c r="L40" s="37"/>
      <c r="M40" s="37"/>
      <c r="N40" s="37"/>
      <c r="O40" s="37"/>
      <c r="P40" s="37"/>
      <c r="Q40" s="37"/>
      <c r="R40" s="37"/>
      <c r="S40" s="37"/>
      <c r="T40" s="37"/>
      <c r="U40" s="38"/>
    </row>
  </sheetData>
  <mergeCells count="26">
    <mergeCell ref="O31:T31"/>
    <mergeCell ref="O32:T32"/>
    <mergeCell ref="B8:J8"/>
    <mergeCell ref="B9:J9"/>
    <mergeCell ref="B5:J5"/>
    <mergeCell ref="M5:O5"/>
    <mergeCell ref="P5:T5"/>
    <mergeCell ref="B6:J6"/>
    <mergeCell ref="M6:O6"/>
    <mergeCell ref="P6:T6"/>
    <mergeCell ref="P7:T7"/>
    <mergeCell ref="M8:O8"/>
    <mergeCell ref="P8:Q8"/>
    <mergeCell ref="R8:T8"/>
    <mergeCell ref="B7:J7"/>
    <mergeCell ref="M7:O7"/>
    <mergeCell ref="X1:AF2"/>
    <mergeCell ref="X3:AF11"/>
    <mergeCell ref="B4:J4"/>
    <mergeCell ref="M4:O4"/>
    <mergeCell ref="P4:T4"/>
    <mergeCell ref="F1:O2"/>
    <mergeCell ref="P1:R1"/>
    <mergeCell ref="S1:U1"/>
    <mergeCell ref="P2:R2"/>
    <mergeCell ref="S2:U2"/>
  </mergeCells>
  <conditionalFormatting sqref="B4:J4">
    <cfRule type="cellIs" dxfId="0" priority="1" operator="equal">
      <formula>0</formula>
    </cfRule>
  </conditionalFormatting>
  <pageMargins left="3.937007874015748E-2" right="3.937007874015748E-2" top="0.74803149606299213" bottom="0.74803149606299213" header="0.31496062992125984" footer="0.31496062992125984"/>
  <pageSetup paperSize="9"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98D59B85-2C6D-4794-84BB-C68BDCBB1105}">
          <x14:formula1>
            <xm:f>'Data Entry'!$B$11:$C$11</xm:f>
          </x14:formula1>
          <xm:sqref>P5:T5</xm:sqref>
        </x14:dataValidation>
        <x14:dataValidation type="list" allowBlank="1" showInputMessage="1" showErrorMessage="1" xr:uid="{8171D343-15B6-45B4-8432-227951967107}">
          <x14:formula1>
            <xm:f>'Data Entry'!$B$15:$C$15</xm:f>
          </x14:formula1>
          <xm:sqref>R8:T8</xm:sqref>
        </x14:dataValidation>
        <x14:dataValidation type="list" allowBlank="1" showInputMessage="1" showErrorMessage="1" xr:uid="{932D9A13-F933-4DA4-9495-332128C7DBE1}">
          <x14:formula1>
            <xm:f>'Data Entry'!$B$13:$C$13</xm:f>
          </x14:formula1>
          <xm:sqref>B4:J4</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0"/>
  <dimension ref="B1:AD54"/>
  <sheetViews>
    <sheetView workbookViewId="0"/>
  </sheetViews>
  <sheetFormatPr baseColWidth="10" defaultColWidth="0" defaultRowHeight="0" customHeight="1" zeroHeight="1"/>
  <cols>
    <col min="1" max="1" width="1.28515625" style="74" customWidth="1"/>
    <col min="2" max="3" width="4.28515625" style="74" customWidth="1"/>
    <col min="4" max="7" width="3.7109375" style="74" customWidth="1"/>
    <col min="8" max="8" width="3.85546875" style="74" customWidth="1"/>
    <col min="9" max="13" width="3.7109375" style="74" customWidth="1"/>
    <col min="14" max="14" width="11" style="74" customWidth="1"/>
    <col min="15" max="28" width="3.7109375" style="74" customWidth="1"/>
    <col min="29" max="29" width="1.28515625" style="74" customWidth="1"/>
    <col min="30" max="30" width="3.7109375" style="74" hidden="1" customWidth="1"/>
    <col min="31" max="16384" width="0" style="74" hidden="1"/>
  </cols>
  <sheetData>
    <row r="1" spans="2:28" ht="9" customHeight="1" thickBot="1"/>
    <row r="2" spans="2:28" ht="19.5" customHeight="1">
      <c r="B2" s="782"/>
      <c r="C2" s="75"/>
      <c r="D2" s="75"/>
      <c r="E2" s="75"/>
      <c r="F2" s="76"/>
      <c r="G2" s="784" t="s">
        <v>241</v>
      </c>
      <c r="H2" s="784"/>
      <c r="I2" s="784"/>
      <c r="J2" s="784"/>
      <c r="K2" s="784"/>
      <c r="L2" s="784"/>
      <c r="M2" s="784"/>
      <c r="N2" s="784"/>
      <c r="O2" s="784"/>
      <c r="P2" s="784"/>
      <c r="Q2" s="784"/>
      <c r="R2" s="784"/>
      <c r="S2" s="784"/>
      <c r="T2" s="784"/>
      <c r="U2" s="784"/>
      <c r="V2" s="785"/>
      <c r="W2" s="788" t="s">
        <v>104</v>
      </c>
      <c r="X2" s="788"/>
      <c r="Y2" s="788"/>
      <c r="Z2" s="789" t="s">
        <v>2</v>
      </c>
      <c r="AA2" s="789"/>
      <c r="AB2" s="790"/>
    </row>
    <row r="3" spans="2:28" ht="18" customHeight="1" thickBot="1">
      <c r="B3" s="783"/>
      <c r="C3" s="77"/>
      <c r="D3" s="77"/>
      <c r="E3" s="77"/>
      <c r="F3" s="77"/>
      <c r="G3" s="786"/>
      <c r="H3" s="786"/>
      <c r="I3" s="786"/>
      <c r="J3" s="786"/>
      <c r="K3" s="786"/>
      <c r="L3" s="786"/>
      <c r="M3" s="786"/>
      <c r="N3" s="786"/>
      <c r="O3" s="786"/>
      <c r="P3" s="786"/>
      <c r="Q3" s="786"/>
      <c r="R3" s="786"/>
      <c r="S3" s="786"/>
      <c r="T3" s="786"/>
      <c r="U3" s="786"/>
      <c r="V3" s="787"/>
      <c r="W3" s="791" t="s">
        <v>3</v>
      </c>
      <c r="X3" s="791"/>
      <c r="Y3" s="791"/>
      <c r="Z3" s="792">
        <v>42917</v>
      </c>
      <c r="AA3" s="792"/>
      <c r="AB3" s="793"/>
    </row>
    <row r="4" spans="2:28" ht="12.75">
      <c r="B4" s="78"/>
      <c r="C4" s="79"/>
      <c r="D4" s="79"/>
      <c r="E4" s="79"/>
      <c r="F4" s="79"/>
      <c r="G4" s="79"/>
      <c r="H4" s="79"/>
      <c r="I4" s="79"/>
      <c r="J4" s="79"/>
      <c r="K4" s="79"/>
      <c r="L4" s="79"/>
      <c r="M4" s="79"/>
      <c r="N4" s="79"/>
      <c r="O4" s="79"/>
      <c r="P4" s="79"/>
      <c r="Q4" s="79"/>
      <c r="R4" s="79"/>
      <c r="S4" s="79"/>
      <c r="T4" s="79"/>
      <c r="U4" s="79"/>
      <c r="V4" s="79"/>
      <c r="W4" s="79"/>
      <c r="X4" s="79"/>
      <c r="Y4" s="79"/>
      <c r="Z4" s="79"/>
      <c r="AA4" s="79"/>
      <c r="AB4" s="80"/>
    </row>
    <row r="5" spans="2:28" ht="20.25" customHeight="1">
      <c r="B5" s="78"/>
      <c r="C5" s="223" t="s">
        <v>97</v>
      </c>
      <c r="D5" s="1076" t="s">
        <v>6</v>
      </c>
      <c r="E5" s="1076"/>
      <c r="F5" s="1076"/>
      <c r="G5" s="1076"/>
      <c r="H5" s="1076"/>
      <c r="I5" s="1076"/>
      <c r="J5" s="1076"/>
      <c r="K5" s="224"/>
      <c r="L5" s="223" t="s">
        <v>96</v>
      </c>
      <c r="M5" s="1076">
        <f>'Data Entry'!B13</f>
        <v>0</v>
      </c>
      <c r="N5" s="1076"/>
      <c r="O5" s="1076"/>
      <c r="P5" s="1076"/>
      <c r="Q5" s="1076"/>
      <c r="R5" s="1076"/>
      <c r="S5" s="1076"/>
      <c r="T5" s="226"/>
      <c r="U5" s="79"/>
      <c r="V5" s="223" t="s">
        <v>90</v>
      </c>
      <c r="W5" s="1077">
        <f>'Data Entry'!B19</f>
        <v>0</v>
      </c>
      <c r="X5" s="1077"/>
      <c r="Y5" s="1077"/>
      <c r="Z5" s="1077"/>
      <c r="AA5" s="1077"/>
      <c r="AB5" s="1078"/>
    </row>
    <row r="6" spans="2:28" ht="20.25" customHeight="1">
      <c r="B6" s="78"/>
      <c r="C6" s="223"/>
      <c r="D6" s="223"/>
      <c r="E6" s="79"/>
      <c r="F6" s="79"/>
      <c r="G6" s="224"/>
      <c r="H6" s="223" t="s">
        <v>105</v>
      </c>
      <c r="I6" s="1079">
        <v>43377.416666666664</v>
      </c>
      <c r="J6" s="811"/>
      <c r="K6" s="811"/>
      <c r="L6" s="811"/>
      <c r="M6" s="811"/>
      <c r="N6" s="225"/>
      <c r="O6" s="79"/>
      <c r="P6" s="79"/>
      <c r="Q6" s="223"/>
      <c r="R6" s="79"/>
      <c r="S6" s="224"/>
      <c r="T6" s="226"/>
      <c r="U6" s="79"/>
      <c r="V6" s="79"/>
      <c r="W6" s="223" t="s">
        <v>106</v>
      </c>
      <c r="X6" s="1080">
        <v>43377.458333333336</v>
      </c>
      <c r="Y6" s="1081"/>
      <c r="Z6" s="1081"/>
      <c r="AA6" s="1081"/>
      <c r="AB6" s="1082"/>
    </row>
    <row r="7" spans="2:28" ht="20.25" customHeight="1">
      <c r="B7" s="78"/>
      <c r="C7" s="79"/>
      <c r="D7" s="79"/>
      <c r="E7" s="223" t="s">
        <v>107</v>
      </c>
      <c r="F7" s="810">
        <v>1</v>
      </c>
      <c r="G7" s="810"/>
      <c r="H7" s="79"/>
      <c r="I7" s="224"/>
      <c r="J7" s="79"/>
      <c r="K7" s="223" t="s">
        <v>108</v>
      </c>
      <c r="L7" s="808" t="s">
        <v>192</v>
      </c>
      <c r="M7" s="808"/>
      <c r="N7" s="85"/>
      <c r="O7" s="79"/>
      <c r="P7" s="82"/>
      <c r="Q7" s="79"/>
      <c r="R7" s="79"/>
      <c r="S7" s="223" t="s">
        <v>109</v>
      </c>
      <c r="T7" s="811" t="s">
        <v>271</v>
      </c>
      <c r="U7" s="811"/>
      <c r="V7" s="79"/>
      <c r="W7" s="79"/>
      <c r="X7" s="79"/>
      <c r="Y7" s="79"/>
      <c r="Z7" s="223" t="s">
        <v>110</v>
      </c>
      <c r="AA7" s="808" t="s">
        <v>270</v>
      </c>
      <c r="AB7" s="809"/>
    </row>
    <row r="8" spans="2:28" ht="20.25" customHeight="1">
      <c r="B8" s="78"/>
      <c r="C8" s="223"/>
      <c r="D8" s="223"/>
      <c r="E8" s="223"/>
      <c r="F8" s="79"/>
      <c r="G8" s="79"/>
      <c r="H8" s="223" t="s">
        <v>111</v>
      </c>
      <c r="I8" s="1083"/>
      <c r="J8" s="1083"/>
      <c r="K8" s="1083"/>
      <c r="L8" s="1083"/>
      <c r="M8" s="1083"/>
      <c r="N8" s="225"/>
      <c r="O8" s="223"/>
      <c r="P8" s="223"/>
      <c r="Q8" s="223"/>
      <c r="R8" s="223"/>
      <c r="S8" s="79"/>
      <c r="T8" s="226"/>
      <c r="U8" s="79"/>
      <c r="V8" s="79"/>
      <c r="W8" s="223" t="s">
        <v>112</v>
      </c>
      <c r="X8" s="1083"/>
      <c r="Y8" s="1083"/>
      <c r="Z8" s="1083"/>
      <c r="AA8" s="1083"/>
      <c r="AB8" s="1084"/>
    </row>
    <row r="9" spans="2:28" ht="20.25" customHeight="1">
      <c r="B9" s="78"/>
      <c r="C9" s="223"/>
      <c r="D9" s="223"/>
      <c r="E9" s="223"/>
      <c r="F9" s="223"/>
      <c r="G9" s="223"/>
      <c r="H9" s="223"/>
      <c r="I9" s="79"/>
      <c r="J9" s="223"/>
      <c r="K9" s="79"/>
      <c r="L9" s="79"/>
      <c r="M9" s="224"/>
      <c r="N9" s="224"/>
      <c r="O9" s="79"/>
      <c r="P9" s="223" t="s">
        <v>237</v>
      </c>
      <c r="Q9" s="1074" t="s">
        <v>269</v>
      </c>
      <c r="R9" s="1074"/>
      <c r="S9" s="1074"/>
      <c r="T9" s="1074"/>
      <c r="U9" s="1074"/>
      <c r="V9" s="1074"/>
      <c r="W9" s="1074"/>
      <c r="X9" s="1074"/>
      <c r="Y9" s="1074"/>
      <c r="Z9" s="1074"/>
      <c r="AA9" s="1074"/>
      <c r="AB9" s="1075"/>
    </row>
    <row r="10" spans="2:28" ht="20.25" customHeight="1">
      <c r="B10" s="78"/>
      <c r="C10" s="223"/>
      <c r="D10" s="223"/>
      <c r="E10" s="223"/>
      <c r="F10" s="223"/>
      <c r="G10" s="223"/>
      <c r="H10" s="223"/>
      <c r="I10" s="223"/>
      <c r="J10" s="223"/>
      <c r="K10" s="79"/>
      <c r="L10" s="79"/>
      <c r="M10" s="224"/>
      <c r="N10" s="224"/>
      <c r="O10" s="79"/>
      <c r="P10" s="223" t="s">
        <v>238</v>
      </c>
      <c r="Q10" s="1074" t="s">
        <v>240</v>
      </c>
      <c r="R10" s="1074"/>
      <c r="S10" s="1074"/>
      <c r="T10" s="1074"/>
      <c r="U10" s="1074"/>
      <c r="V10" s="1074"/>
      <c r="W10" s="1074"/>
      <c r="X10" s="1074"/>
      <c r="Y10" s="1074"/>
      <c r="Z10" s="1074"/>
      <c r="AA10" s="1074"/>
      <c r="AB10" s="1075"/>
    </row>
    <row r="11" spans="2:28" ht="20.25" customHeight="1">
      <c r="B11" s="78"/>
      <c r="C11" s="223"/>
      <c r="D11" s="223"/>
      <c r="E11" s="223"/>
      <c r="F11" s="223"/>
      <c r="G11" s="223"/>
      <c r="H11" s="223"/>
      <c r="I11" s="223"/>
      <c r="J11" s="223"/>
      <c r="K11" s="79"/>
      <c r="L11" s="79"/>
      <c r="M11" s="224"/>
      <c r="N11" s="224"/>
      <c r="O11" s="79"/>
      <c r="P11" s="223" t="s">
        <v>113</v>
      </c>
      <c r="Q11" s="1074" t="s">
        <v>52</v>
      </c>
      <c r="R11" s="1074"/>
      <c r="S11" s="1074"/>
      <c r="T11" s="1074"/>
      <c r="U11" s="1074"/>
      <c r="V11" s="1074"/>
      <c r="W11" s="1074"/>
      <c r="X11" s="1074"/>
      <c r="Y11" s="1074"/>
      <c r="Z11" s="1074"/>
      <c r="AA11" s="1074"/>
      <c r="AB11" s="1075"/>
    </row>
    <row r="12" spans="2:28" ht="15.75" customHeight="1">
      <c r="B12" s="78"/>
      <c r="C12" s="81"/>
      <c r="D12" s="81"/>
      <c r="E12" s="81"/>
      <c r="F12" s="81"/>
      <c r="G12" s="81"/>
      <c r="H12" s="81"/>
      <c r="I12" s="81"/>
      <c r="J12" s="81"/>
      <c r="K12" s="79"/>
      <c r="L12" s="81"/>
      <c r="M12" s="82"/>
      <c r="N12" s="82"/>
      <c r="O12" s="82"/>
      <c r="P12" s="82"/>
      <c r="Q12" s="82"/>
      <c r="R12" s="82"/>
      <c r="S12" s="82"/>
      <c r="T12" s="83"/>
      <c r="U12" s="79"/>
      <c r="V12" s="79"/>
      <c r="W12" s="79"/>
      <c r="X12" s="79"/>
      <c r="Y12" s="79"/>
      <c r="Z12" s="79"/>
      <c r="AA12" s="79"/>
      <c r="AB12" s="80"/>
    </row>
    <row r="13" spans="2:28" ht="15">
      <c r="B13" s="799" t="s">
        <v>114</v>
      </c>
      <c r="C13" s="800"/>
      <c r="D13" s="800"/>
      <c r="E13" s="800"/>
      <c r="F13" s="800"/>
      <c r="G13" s="800"/>
      <c r="H13" s="800"/>
      <c r="I13" s="800"/>
      <c r="J13" s="800"/>
      <c r="K13" s="800"/>
      <c r="L13" s="800"/>
      <c r="M13" s="800"/>
      <c r="N13" s="800"/>
      <c r="O13" s="800"/>
      <c r="P13" s="800"/>
      <c r="Q13" s="800"/>
      <c r="R13" s="800"/>
      <c r="S13" s="800"/>
      <c r="T13" s="800"/>
      <c r="U13" s="800"/>
      <c r="V13" s="800"/>
      <c r="W13" s="800"/>
      <c r="X13" s="800"/>
      <c r="Y13" s="800"/>
      <c r="Z13" s="800"/>
      <c r="AA13" s="800"/>
      <c r="AB13" s="801"/>
    </row>
    <row r="14" spans="2:28" ht="6.75" customHeight="1">
      <c r="B14" s="86"/>
      <c r="C14" s="79"/>
      <c r="D14" s="79"/>
      <c r="E14" s="79"/>
      <c r="F14" s="79"/>
      <c r="G14" s="79"/>
      <c r="H14" s="79"/>
      <c r="I14" s="79"/>
      <c r="J14" s="79"/>
      <c r="K14" s="79"/>
      <c r="L14" s="79"/>
      <c r="M14" s="79"/>
      <c r="N14" s="79"/>
      <c r="O14" s="79"/>
      <c r="P14" s="79"/>
      <c r="Q14" s="79"/>
      <c r="R14" s="79"/>
      <c r="S14" s="79"/>
      <c r="T14" s="79"/>
      <c r="U14" s="79"/>
      <c r="V14" s="79"/>
      <c r="W14" s="79"/>
      <c r="X14" s="79"/>
      <c r="Y14" s="79"/>
      <c r="Z14" s="79"/>
      <c r="AA14" s="79"/>
      <c r="AB14" s="80"/>
    </row>
    <row r="15" spans="2:28" ht="15">
      <c r="B15" s="826" t="s">
        <v>39</v>
      </c>
      <c r="C15" s="827"/>
      <c r="D15" s="812" t="s">
        <v>115</v>
      </c>
      <c r="E15" s="812"/>
      <c r="F15" s="812"/>
      <c r="G15" s="812"/>
      <c r="H15" s="812"/>
      <c r="I15" s="812"/>
      <c r="J15" s="812"/>
      <c r="K15" s="812"/>
      <c r="L15" s="812"/>
      <c r="M15" s="812"/>
      <c r="N15" s="829" t="s">
        <v>116</v>
      </c>
      <c r="O15" s="812" t="s">
        <v>117</v>
      </c>
      <c r="P15" s="812"/>
      <c r="Q15" s="812"/>
      <c r="R15" s="812"/>
      <c r="S15" s="813" t="s">
        <v>118</v>
      </c>
      <c r="T15" s="814"/>
      <c r="U15" s="814"/>
      <c r="V15" s="814"/>
      <c r="W15" s="814"/>
      <c r="X15" s="814"/>
      <c r="Y15" s="814"/>
      <c r="Z15" s="815"/>
      <c r="AA15" s="822" t="s">
        <v>119</v>
      </c>
      <c r="AB15" s="823"/>
    </row>
    <row r="16" spans="2:28" ht="15">
      <c r="B16" s="1073"/>
      <c r="C16" s="825"/>
      <c r="D16" s="812" t="s">
        <v>120</v>
      </c>
      <c r="E16" s="812"/>
      <c r="F16" s="812"/>
      <c r="G16" s="812"/>
      <c r="H16" s="812"/>
      <c r="I16" s="812"/>
      <c r="J16" s="812"/>
      <c r="K16" s="812"/>
      <c r="L16" s="812"/>
      <c r="M16" s="812"/>
      <c r="N16" s="830"/>
      <c r="O16" s="812" t="s">
        <v>121</v>
      </c>
      <c r="P16" s="812"/>
      <c r="Q16" s="812" t="s">
        <v>122</v>
      </c>
      <c r="R16" s="812"/>
      <c r="S16" s="816"/>
      <c r="T16" s="817"/>
      <c r="U16" s="817"/>
      <c r="V16" s="817"/>
      <c r="W16" s="817"/>
      <c r="X16" s="817"/>
      <c r="Y16" s="817"/>
      <c r="Z16" s="818"/>
      <c r="AA16" s="822"/>
      <c r="AB16" s="823"/>
    </row>
    <row r="17" spans="2:28" ht="15">
      <c r="B17" s="826" t="s">
        <v>123</v>
      </c>
      <c r="C17" s="827"/>
      <c r="D17" s="828"/>
      <c r="E17" s="828"/>
      <c r="F17" s="828"/>
      <c r="G17" s="828"/>
      <c r="H17" s="828"/>
      <c r="I17" s="828"/>
      <c r="J17" s="828"/>
      <c r="K17" s="828"/>
      <c r="L17" s="828"/>
      <c r="M17" s="828"/>
      <c r="N17" s="87"/>
      <c r="O17" s="812" t="s">
        <v>124</v>
      </c>
      <c r="P17" s="812"/>
      <c r="Q17" s="812" t="s">
        <v>124</v>
      </c>
      <c r="R17" s="812"/>
      <c r="S17" s="819"/>
      <c r="T17" s="820"/>
      <c r="U17" s="820"/>
      <c r="V17" s="820"/>
      <c r="W17" s="820"/>
      <c r="X17" s="820"/>
      <c r="Y17" s="820"/>
      <c r="Z17" s="821"/>
      <c r="AA17" s="822"/>
      <c r="AB17" s="823"/>
    </row>
    <row r="18" spans="2:28" ht="20.25" customHeight="1">
      <c r="B18" s="837">
        <v>0.4375</v>
      </c>
      <c r="C18" s="838"/>
      <c r="D18" s="831"/>
      <c r="E18" s="831"/>
      <c r="F18" s="831"/>
      <c r="G18" s="831"/>
      <c r="H18" s="831"/>
      <c r="I18" s="831"/>
      <c r="J18" s="831"/>
      <c r="K18" s="831"/>
      <c r="L18" s="831"/>
      <c r="M18" s="831"/>
      <c r="N18" s="88"/>
      <c r="O18" s="831"/>
      <c r="P18" s="831"/>
      <c r="Q18" s="831"/>
      <c r="R18" s="831"/>
      <c r="S18" s="1066" t="s">
        <v>359</v>
      </c>
      <c r="T18" s="1067"/>
      <c r="U18" s="1067"/>
      <c r="V18" s="1067"/>
      <c r="W18" s="1067"/>
      <c r="X18" s="1067"/>
      <c r="Y18" s="1067"/>
      <c r="Z18" s="1068"/>
      <c r="AA18" s="831"/>
      <c r="AB18" s="832"/>
    </row>
    <row r="19" spans="2:28" ht="20.25" customHeight="1">
      <c r="B19" s="837">
        <v>0.45833333333333331</v>
      </c>
      <c r="C19" s="838"/>
      <c r="D19" s="831"/>
      <c r="E19" s="831"/>
      <c r="F19" s="831"/>
      <c r="G19" s="831"/>
      <c r="H19" s="831"/>
      <c r="I19" s="831"/>
      <c r="J19" s="831"/>
      <c r="K19" s="831"/>
      <c r="L19" s="831"/>
      <c r="M19" s="831"/>
      <c r="N19" s="88">
        <v>327</v>
      </c>
      <c r="O19" s="831">
        <v>13</v>
      </c>
      <c r="P19" s="831"/>
      <c r="Q19" s="831">
        <v>26</v>
      </c>
      <c r="R19" s="831"/>
      <c r="S19" s="1066"/>
      <c r="T19" s="1067"/>
      <c r="U19" s="1067"/>
      <c r="V19" s="1067"/>
      <c r="W19" s="1067"/>
      <c r="X19" s="1067"/>
      <c r="Y19" s="1067"/>
      <c r="Z19" s="1068"/>
      <c r="AA19" s="831" t="s">
        <v>360</v>
      </c>
      <c r="AB19" s="832"/>
    </row>
    <row r="20" spans="2:28" ht="20.25" customHeight="1">
      <c r="B20" s="837">
        <v>0.5</v>
      </c>
      <c r="C20" s="838"/>
      <c r="D20" s="831"/>
      <c r="E20" s="831"/>
      <c r="F20" s="831"/>
      <c r="G20" s="831"/>
      <c r="H20" s="831"/>
      <c r="I20" s="831"/>
      <c r="J20" s="831"/>
      <c r="K20" s="831"/>
      <c r="L20" s="831"/>
      <c r="M20" s="831"/>
      <c r="N20" s="88">
        <v>616</v>
      </c>
      <c r="O20" s="831">
        <v>13</v>
      </c>
      <c r="P20" s="831"/>
      <c r="Q20" s="831">
        <v>26</v>
      </c>
      <c r="R20" s="831"/>
      <c r="S20" s="1070"/>
      <c r="T20" s="1071"/>
      <c r="U20" s="1071"/>
      <c r="V20" s="1071"/>
      <c r="W20" s="1071"/>
      <c r="X20" s="1071"/>
      <c r="Y20" s="1071"/>
      <c r="Z20" s="1072"/>
      <c r="AA20" s="831" t="s">
        <v>360</v>
      </c>
      <c r="AB20" s="832"/>
    </row>
    <row r="21" spans="2:28" ht="20.25" customHeight="1">
      <c r="B21" s="837">
        <v>0.54166666666666696</v>
      </c>
      <c r="C21" s="838"/>
      <c r="D21" s="831">
        <v>1</v>
      </c>
      <c r="E21" s="831"/>
      <c r="F21" s="831"/>
      <c r="G21" s="831"/>
      <c r="H21" s="831"/>
      <c r="I21" s="831"/>
      <c r="J21" s="831"/>
      <c r="K21" s="831"/>
      <c r="L21" s="831"/>
      <c r="M21" s="831"/>
      <c r="N21" s="88">
        <v>648</v>
      </c>
      <c r="O21" s="831">
        <v>13</v>
      </c>
      <c r="P21" s="831"/>
      <c r="Q21" s="831">
        <v>26</v>
      </c>
      <c r="R21" s="831"/>
      <c r="S21" s="1066"/>
      <c r="T21" s="1067"/>
      <c r="U21" s="1067"/>
      <c r="V21" s="1067"/>
      <c r="W21" s="1067"/>
      <c r="X21" s="1067"/>
      <c r="Y21" s="1067"/>
      <c r="Z21" s="1068"/>
      <c r="AA21" s="831"/>
      <c r="AB21" s="832"/>
    </row>
    <row r="22" spans="2:28" ht="20.25" customHeight="1">
      <c r="B22" s="837">
        <v>0.58333333333333304</v>
      </c>
      <c r="C22" s="838"/>
      <c r="D22" s="831"/>
      <c r="E22" s="831"/>
      <c r="F22" s="831"/>
      <c r="G22" s="831"/>
      <c r="H22" s="831"/>
      <c r="I22" s="831"/>
      <c r="J22" s="831"/>
      <c r="K22" s="831"/>
      <c r="L22" s="831"/>
      <c r="M22" s="831"/>
      <c r="N22" s="88"/>
      <c r="O22" s="831"/>
      <c r="P22" s="831"/>
      <c r="Q22" s="831"/>
      <c r="R22" s="831"/>
      <c r="S22" s="1066"/>
      <c r="T22" s="1067"/>
      <c r="U22" s="1067"/>
      <c r="V22" s="1067"/>
      <c r="W22" s="1067"/>
      <c r="X22" s="1067"/>
      <c r="Y22" s="1067"/>
      <c r="Z22" s="1068"/>
      <c r="AA22" s="831"/>
      <c r="AB22" s="832"/>
    </row>
    <row r="23" spans="2:28" ht="20.25" customHeight="1">
      <c r="B23" s="837">
        <v>0.625</v>
      </c>
      <c r="C23" s="838"/>
      <c r="D23" s="831"/>
      <c r="E23" s="831"/>
      <c r="F23" s="831"/>
      <c r="G23" s="831"/>
      <c r="H23" s="831"/>
      <c r="I23" s="831"/>
      <c r="J23" s="831"/>
      <c r="K23" s="831"/>
      <c r="L23" s="831"/>
      <c r="M23" s="831"/>
      <c r="N23" s="88"/>
      <c r="O23" s="831"/>
      <c r="P23" s="831"/>
      <c r="Q23" s="831"/>
      <c r="R23" s="831"/>
      <c r="S23" s="1066"/>
      <c r="T23" s="1067"/>
      <c r="U23" s="1067"/>
      <c r="V23" s="1067"/>
      <c r="W23" s="1067"/>
      <c r="X23" s="1067"/>
      <c r="Y23" s="1067"/>
      <c r="Z23" s="1068"/>
      <c r="AA23" s="831"/>
      <c r="AB23" s="832"/>
    </row>
    <row r="24" spans="2:28" ht="20.25" customHeight="1">
      <c r="B24" s="837">
        <v>0.66666666666666596</v>
      </c>
      <c r="C24" s="838"/>
      <c r="D24" s="831"/>
      <c r="E24" s="831"/>
      <c r="F24" s="831"/>
      <c r="G24" s="831"/>
      <c r="H24" s="831"/>
      <c r="I24" s="831"/>
      <c r="J24" s="831"/>
      <c r="K24" s="831"/>
      <c r="L24" s="831"/>
      <c r="M24" s="831"/>
      <c r="N24" s="88"/>
      <c r="O24" s="831"/>
      <c r="P24" s="831"/>
      <c r="Q24" s="831"/>
      <c r="R24" s="831"/>
      <c r="S24" s="831"/>
      <c r="T24" s="831"/>
      <c r="U24" s="831"/>
      <c r="V24" s="831"/>
      <c r="W24" s="831"/>
      <c r="X24" s="831"/>
      <c r="Y24" s="831"/>
      <c r="Z24" s="831"/>
      <c r="AA24" s="831"/>
      <c r="AB24" s="832"/>
    </row>
    <row r="25" spans="2:28" ht="20.25" customHeight="1">
      <c r="B25" s="837">
        <v>0.70833333333333304</v>
      </c>
      <c r="C25" s="838"/>
      <c r="D25" s="831"/>
      <c r="E25" s="831"/>
      <c r="F25" s="831"/>
      <c r="G25" s="831"/>
      <c r="H25" s="831"/>
      <c r="I25" s="831"/>
      <c r="J25" s="831"/>
      <c r="K25" s="831"/>
      <c r="L25" s="831"/>
      <c r="M25" s="831"/>
      <c r="N25" s="88"/>
      <c r="O25" s="831"/>
      <c r="P25" s="831"/>
      <c r="Q25" s="831"/>
      <c r="R25" s="831"/>
      <c r="S25" s="831"/>
      <c r="T25" s="831"/>
      <c r="U25" s="831"/>
      <c r="V25" s="831"/>
      <c r="W25" s="831"/>
      <c r="X25" s="831"/>
      <c r="Y25" s="831"/>
      <c r="Z25" s="831"/>
      <c r="AA25" s="831"/>
      <c r="AB25" s="832"/>
    </row>
    <row r="26" spans="2:28" ht="20.25" customHeight="1">
      <c r="B26" s="837"/>
      <c r="C26" s="838"/>
      <c r="D26" s="831"/>
      <c r="E26" s="831"/>
      <c r="F26" s="831"/>
      <c r="G26" s="831"/>
      <c r="H26" s="831"/>
      <c r="I26" s="831"/>
      <c r="J26" s="831"/>
      <c r="K26" s="831"/>
      <c r="L26" s="831"/>
      <c r="M26" s="831"/>
      <c r="N26" s="88"/>
      <c r="O26" s="831"/>
      <c r="P26" s="831"/>
      <c r="Q26" s="831"/>
      <c r="R26" s="831"/>
      <c r="S26" s="1069"/>
      <c r="T26" s="1069"/>
      <c r="U26" s="1069"/>
      <c r="V26" s="1069"/>
      <c r="W26" s="1069"/>
      <c r="X26" s="1069"/>
      <c r="Y26" s="1069"/>
      <c r="Z26" s="1069"/>
      <c r="AA26" s="831"/>
      <c r="AB26" s="832"/>
    </row>
    <row r="27" spans="2:28" ht="20.25" customHeight="1">
      <c r="B27" s="837"/>
      <c r="C27" s="838"/>
      <c r="D27" s="831"/>
      <c r="E27" s="831"/>
      <c r="F27" s="831"/>
      <c r="G27" s="831"/>
      <c r="H27" s="831"/>
      <c r="I27" s="831"/>
      <c r="J27" s="831"/>
      <c r="K27" s="831"/>
      <c r="L27" s="831"/>
      <c r="M27" s="831"/>
      <c r="N27" s="88"/>
      <c r="O27" s="831"/>
      <c r="P27" s="831"/>
      <c r="Q27" s="831"/>
      <c r="R27" s="831"/>
      <c r="S27" s="831"/>
      <c r="T27" s="831"/>
      <c r="U27" s="831"/>
      <c r="V27" s="831"/>
      <c r="W27" s="831"/>
      <c r="X27" s="831"/>
      <c r="Y27" s="831"/>
      <c r="Z27" s="831"/>
      <c r="AA27" s="831"/>
      <c r="AB27" s="832"/>
    </row>
    <row r="28" spans="2:28" ht="20.25" customHeight="1">
      <c r="B28" s="837"/>
      <c r="C28" s="838"/>
      <c r="D28" s="831"/>
      <c r="E28" s="831"/>
      <c r="F28" s="831"/>
      <c r="G28" s="831"/>
      <c r="H28" s="831"/>
      <c r="I28" s="831"/>
      <c r="J28" s="831"/>
      <c r="K28" s="831"/>
      <c r="L28" s="831"/>
      <c r="M28" s="831"/>
      <c r="N28" s="88"/>
      <c r="O28" s="831"/>
      <c r="P28" s="831"/>
      <c r="Q28" s="831"/>
      <c r="R28" s="831"/>
      <c r="S28" s="831"/>
      <c r="T28" s="831"/>
      <c r="U28" s="831"/>
      <c r="V28" s="831"/>
      <c r="W28" s="831"/>
      <c r="X28" s="831"/>
      <c r="Y28" s="831"/>
      <c r="Z28" s="831"/>
      <c r="AA28" s="831"/>
      <c r="AB28" s="832"/>
    </row>
    <row r="29" spans="2:28" ht="20.25" customHeight="1">
      <c r="B29" s="837"/>
      <c r="C29" s="838"/>
      <c r="D29" s="831"/>
      <c r="E29" s="831"/>
      <c r="F29" s="831"/>
      <c r="G29" s="831"/>
      <c r="H29" s="831"/>
      <c r="I29" s="831"/>
      <c r="J29" s="831"/>
      <c r="K29" s="831"/>
      <c r="L29" s="831"/>
      <c r="M29" s="831"/>
      <c r="N29" s="88"/>
      <c r="O29" s="831"/>
      <c r="P29" s="831"/>
      <c r="Q29" s="831"/>
      <c r="R29" s="831"/>
      <c r="S29" s="831"/>
      <c r="T29" s="831"/>
      <c r="U29" s="831"/>
      <c r="V29" s="831"/>
      <c r="W29" s="831"/>
      <c r="X29" s="831"/>
      <c r="Y29" s="831"/>
      <c r="Z29" s="831"/>
      <c r="AA29" s="831"/>
      <c r="AB29" s="832"/>
    </row>
    <row r="30" spans="2:28" ht="20.25" customHeight="1">
      <c r="B30" s="837"/>
      <c r="C30" s="838"/>
      <c r="D30" s="831"/>
      <c r="E30" s="831"/>
      <c r="F30" s="831"/>
      <c r="G30" s="831"/>
      <c r="H30" s="831"/>
      <c r="I30" s="831"/>
      <c r="J30" s="831"/>
      <c r="K30" s="831"/>
      <c r="L30" s="831"/>
      <c r="M30" s="831"/>
      <c r="N30" s="88"/>
      <c r="O30" s="831"/>
      <c r="P30" s="831"/>
      <c r="Q30" s="831"/>
      <c r="R30" s="831"/>
      <c r="S30" s="831"/>
      <c r="T30" s="831"/>
      <c r="U30" s="831"/>
      <c r="V30" s="831"/>
      <c r="W30" s="831"/>
      <c r="X30" s="831"/>
      <c r="Y30" s="831"/>
      <c r="Z30" s="831"/>
      <c r="AA30" s="831"/>
      <c r="AB30" s="832"/>
    </row>
    <row r="31" spans="2:28" ht="20.25" customHeight="1">
      <c r="B31" s="837"/>
      <c r="C31" s="838"/>
      <c r="D31" s="831"/>
      <c r="E31" s="831"/>
      <c r="F31" s="831"/>
      <c r="G31" s="831"/>
      <c r="H31" s="831"/>
      <c r="I31" s="831"/>
      <c r="J31" s="831"/>
      <c r="K31" s="831"/>
      <c r="L31" s="831"/>
      <c r="M31" s="831"/>
      <c r="N31" s="88"/>
      <c r="O31" s="831"/>
      <c r="P31" s="831"/>
      <c r="Q31" s="831"/>
      <c r="R31" s="831"/>
      <c r="S31" s="831"/>
      <c r="T31" s="831"/>
      <c r="U31" s="831"/>
      <c r="V31" s="831"/>
      <c r="W31" s="831"/>
      <c r="X31" s="831"/>
      <c r="Y31" s="831"/>
      <c r="Z31" s="831"/>
      <c r="AA31" s="831"/>
      <c r="AB31" s="832"/>
    </row>
    <row r="32" spans="2:28" ht="20.25" customHeight="1">
      <c r="B32" s="837"/>
      <c r="C32" s="838"/>
      <c r="D32" s="831"/>
      <c r="E32" s="831"/>
      <c r="F32" s="831"/>
      <c r="G32" s="831"/>
      <c r="H32" s="831"/>
      <c r="I32" s="831"/>
      <c r="J32" s="831"/>
      <c r="K32" s="831"/>
      <c r="L32" s="831"/>
      <c r="M32" s="831"/>
      <c r="N32" s="88"/>
      <c r="O32" s="831"/>
      <c r="P32" s="831"/>
      <c r="Q32" s="831"/>
      <c r="R32" s="831"/>
      <c r="S32" s="1066"/>
      <c r="T32" s="1067"/>
      <c r="U32" s="1067"/>
      <c r="V32" s="1067"/>
      <c r="W32" s="1067"/>
      <c r="X32" s="1067"/>
      <c r="Y32" s="1067"/>
      <c r="Z32" s="1068"/>
      <c r="AA32" s="831"/>
      <c r="AB32" s="832"/>
    </row>
    <row r="33" spans="2:28" ht="20.25" customHeight="1">
      <c r="B33" s="837"/>
      <c r="C33" s="838"/>
      <c r="D33" s="831"/>
      <c r="E33" s="831"/>
      <c r="F33" s="831"/>
      <c r="G33" s="831"/>
      <c r="H33" s="831"/>
      <c r="I33" s="831"/>
      <c r="J33" s="831"/>
      <c r="K33" s="831"/>
      <c r="L33" s="831"/>
      <c r="M33" s="831"/>
      <c r="N33" s="88"/>
      <c r="O33" s="831"/>
      <c r="P33" s="831"/>
      <c r="Q33" s="831"/>
      <c r="R33" s="831"/>
      <c r="S33" s="831"/>
      <c r="T33" s="831"/>
      <c r="U33" s="831"/>
      <c r="V33" s="831"/>
      <c r="W33" s="831"/>
      <c r="X33" s="831"/>
      <c r="Y33" s="831"/>
      <c r="Z33" s="831"/>
      <c r="AA33" s="831"/>
      <c r="AB33" s="832"/>
    </row>
    <row r="34" spans="2:28" ht="20.25" customHeight="1">
      <c r="B34" s="837"/>
      <c r="C34" s="838"/>
      <c r="D34" s="831"/>
      <c r="E34" s="831"/>
      <c r="F34" s="831"/>
      <c r="G34" s="831"/>
      <c r="H34" s="831"/>
      <c r="I34" s="831"/>
      <c r="J34" s="831"/>
      <c r="K34" s="831"/>
      <c r="L34" s="831"/>
      <c r="M34" s="831"/>
      <c r="N34" s="88"/>
      <c r="O34" s="831"/>
      <c r="P34" s="831"/>
      <c r="Q34" s="831"/>
      <c r="R34" s="831"/>
      <c r="S34" s="831"/>
      <c r="T34" s="831"/>
      <c r="U34" s="831"/>
      <c r="V34" s="831"/>
      <c r="W34" s="831"/>
      <c r="X34" s="831"/>
      <c r="Y34" s="831"/>
      <c r="Z34" s="831"/>
      <c r="AA34" s="831"/>
      <c r="AB34" s="832"/>
    </row>
    <row r="35" spans="2:28" ht="20.25" customHeight="1">
      <c r="B35" s="837"/>
      <c r="C35" s="838"/>
      <c r="D35" s="831"/>
      <c r="E35" s="831"/>
      <c r="F35" s="831"/>
      <c r="G35" s="831"/>
      <c r="H35" s="831"/>
      <c r="I35" s="831"/>
      <c r="J35" s="831"/>
      <c r="K35" s="831"/>
      <c r="L35" s="831"/>
      <c r="M35" s="831"/>
      <c r="N35" s="88"/>
      <c r="O35" s="831"/>
      <c r="P35" s="831"/>
      <c r="Q35" s="831"/>
      <c r="R35" s="831"/>
      <c r="S35" s="831"/>
      <c r="T35" s="831"/>
      <c r="U35" s="831"/>
      <c r="V35" s="831"/>
      <c r="W35" s="831"/>
      <c r="X35" s="831"/>
      <c r="Y35" s="831"/>
      <c r="Z35" s="831"/>
      <c r="AA35" s="831"/>
      <c r="AB35" s="832"/>
    </row>
    <row r="36" spans="2:28" ht="20.25" customHeight="1">
      <c r="B36" s="837"/>
      <c r="C36" s="838"/>
      <c r="D36" s="831"/>
      <c r="E36" s="831"/>
      <c r="F36" s="831"/>
      <c r="G36" s="831"/>
      <c r="H36" s="831"/>
      <c r="I36" s="831"/>
      <c r="J36" s="831"/>
      <c r="K36" s="831"/>
      <c r="L36" s="831"/>
      <c r="M36" s="831"/>
      <c r="N36" s="88"/>
      <c r="O36" s="831"/>
      <c r="P36" s="831"/>
      <c r="Q36" s="831"/>
      <c r="R36" s="831"/>
      <c r="S36" s="831"/>
      <c r="T36" s="831"/>
      <c r="U36" s="831"/>
      <c r="V36" s="831"/>
      <c r="W36" s="831"/>
      <c r="X36" s="831"/>
      <c r="Y36" s="831"/>
      <c r="Z36" s="831"/>
      <c r="AA36" s="831"/>
      <c r="AB36" s="832"/>
    </row>
    <row r="37" spans="2:28" ht="20.25" customHeight="1">
      <c r="B37" s="837"/>
      <c r="C37" s="838"/>
      <c r="D37" s="831"/>
      <c r="E37" s="831"/>
      <c r="F37" s="831"/>
      <c r="G37" s="831"/>
      <c r="H37" s="831"/>
      <c r="I37" s="831"/>
      <c r="J37" s="831"/>
      <c r="K37" s="831"/>
      <c r="L37" s="831"/>
      <c r="M37" s="831"/>
      <c r="N37" s="88"/>
      <c r="O37" s="831"/>
      <c r="P37" s="831"/>
      <c r="Q37" s="831"/>
      <c r="R37" s="831"/>
      <c r="S37" s="831"/>
      <c r="T37" s="831"/>
      <c r="U37" s="831"/>
      <c r="V37" s="831"/>
      <c r="W37" s="831"/>
      <c r="X37" s="831"/>
      <c r="Y37" s="831"/>
      <c r="Z37" s="831"/>
      <c r="AA37" s="831"/>
      <c r="AB37" s="832"/>
    </row>
    <row r="38" spans="2:28" ht="20.25" customHeight="1">
      <c r="B38" s="833"/>
      <c r="C38" s="834"/>
      <c r="D38" s="831"/>
      <c r="E38" s="831"/>
      <c r="F38" s="831"/>
      <c r="G38" s="831"/>
      <c r="H38" s="831"/>
      <c r="I38" s="831"/>
      <c r="J38" s="831"/>
      <c r="K38" s="831"/>
      <c r="L38" s="831"/>
      <c r="M38" s="831"/>
      <c r="N38" s="88"/>
      <c r="O38" s="831"/>
      <c r="P38" s="831"/>
      <c r="Q38" s="831"/>
      <c r="R38" s="831"/>
      <c r="S38" s="831"/>
      <c r="T38" s="831"/>
      <c r="U38" s="831"/>
      <c r="V38" s="831"/>
      <c r="W38" s="831"/>
      <c r="X38" s="831"/>
      <c r="Y38" s="831"/>
      <c r="Z38" s="831"/>
      <c r="AA38" s="831"/>
      <c r="AB38" s="832"/>
    </row>
    <row r="39" spans="2:28" ht="20.25" customHeight="1">
      <c r="B39" s="837"/>
      <c r="C39" s="838"/>
      <c r="D39" s="831"/>
      <c r="E39" s="831"/>
      <c r="F39" s="831"/>
      <c r="G39" s="831"/>
      <c r="H39" s="831"/>
      <c r="I39" s="831"/>
      <c r="J39" s="831"/>
      <c r="K39" s="831"/>
      <c r="L39" s="831"/>
      <c r="M39" s="831"/>
      <c r="N39" s="88"/>
      <c r="O39" s="831"/>
      <c r="P39" s="831"/>
      <c r="Q39" s="831"/>
      <c r="R39" s="831"/>
      <c r="S39" s="831"/>
      <c r="T39" s="831"/>
      <c r="U39" s="831"/>
      <c r="V39" s="831"/>
      <c r="W39" s="831"/>
      <c r="X39" s="831"/>
      <c r="Y39" s="831"/>
      <c r="Z39" s="831"/>
      <c r="AA39" s="831"/>
      <c r="AB39" s="832"/>
    </row>
    <row r="40" spans="2:28" ht="20.25" customHeight="1">
      <c r="B40" s="833"/>
      <c r="C40" s="834"/>
      <c r="D40" s="831"/>
      <c r="E40" s="831"/>
      <c r="F40" s="831"/>
      <c r="G40" s="831"/>
      <c r="H40" s="831"/>
      <c r="I40" s="831"/>
      <c r="J40" s="831"/>
      <c r="K40" s="831"/>
      <c r="L40" s="831"/>
      <c r="M40" s="831"/>
      <c r="N40" s="88"/>
      <c r="O40" s="831"/>
      <c r="P40" s="831"/>
      <c r="Q40" s="831"/>
      <c r="R40" s="831"/>
      <c r="S40" s="831"/>
      <c r="T40" s="831"/>
      <c r="U40" s="831"/>
      <c r="V40" s="831"/>
      <c r="W40" s="831"/>
      <c r="X40" s="831"/>
      <c r="Y40" s="831"/>
      <c r="Z40" s="831"/>
      <c r="AA40" s="831"/>
      <c r="AB40" s="832"/>
    </row>
    <row r="41" spans="2:28" ht="20.25" customHeight="1">
      <c r="B41" s="837"/>
      <c r="C41" s="838"/>
      <c r="D41" s="831"/>
      <c r="E41" s="831"/>
      <c r="F41" s="831"/>
      <c r="G41" s="831"/>
      <c r="H41" s="831"/>
      <c r="I41" s="831"/>
      <c r="J41" s="831"/>
      <c r="K41" s="831"/>
      <c r="L41" s="831"/>
      <c r="M41" s="831"/>
      <c r="N41" s="88"/>
      <c r="O41" s="831"/>
      <c r="P41" s="831"/>
      <c r="Q41" s="831"/>
      <c r="R41" s="831"/>
      <c r="S41" s="831"/>
      <c r="T41" s="831"/>
      <c r="U41" s="831"/>
      <c r="V41" s="831"/>
      <c r="W41" s="831"/>
      <c r="X41" s="831"/>
      <c r="Y41" s="831"/>
      <c r="Z41" s="831"/>
      <c r="AA41" s="831"/>
      <c r="AB41" s="832"/>
    </row>
    <row r="42" spans="2:28" ht="20.25" customHeight="1">
      <c r="B42" s="837"/>
      <c r="C42" s="838"/>
      <c r="D42" s="831"/>
      <c r="E42" s="831"/>
      <c r="F42" s="831"/>
      <c r="G42" s="831"/>
      <c r="H42" s="831"/>
      <c r="I42" s="831"/>
      <c r="J42" s="831"/>
      <c r="K42" s="831"/>
      <c r="L42" s="831"/>
      <c r="M42" s="831"/>
      <c r="N42" s="88"/>
      <c r="O42" s="831"/>
      <c r="P42" s="831"/>
      <c r="Q42" s="831"/>
      <c r="R42" s="831"/>
      <c r="S42" s="831"/>
      <c r="T42" s="831"/>
      <c r="U42" s="831"/>
      <c r="V42" s="831"/>
      <c r="W42" s="831"/>
      <c r="X42" s="831"/>
      <c r="Y42" s="831"/>
      <c r="Z42" s="831"/>
      <c r="AA42" s="831"/>
      <c r="AB42" s="832"/>
    </row>
    <row r="43" spans="2:28" ht="20.25" customHeight="1">
      <c r="B43" s="837"/>
      <c r="C43" s="838"/>
      <c r="D43" s="831"/>
      <c r="E43" s="831"/>
      <c r="F43" s="831"/>
      <c r="G43" s="831"/>
      <c r="H43" s="831"/>
      <c r="I43" s="831"/>
      <c r="J43" s="831"/>
      <c r="K43" s="831"/>
      <c r="L43" s="831"/>
      <c r="M43" s="831"/>
      <c r="N43" s="88"/>
      <c r="O43" s="831"/>
      <c r="P43" s="831"/>
      <c r="Q43" s="831"/>
      <c r="R43" s="831"/>
      <c r="S43" s="831"/>
      <c r="T43" s="831"/>
      <c r="U43" s="831"/>
      <c r="V43" s="831"/>
      <c r="W43" s="831"/>
      <c r="X43" s="831"/>
      <c r="Y43" s="831"/>
      <c r="Z43" s="831"/>
      <c r="AA43" s="831"/>
      <c r="AB43" s="832"/>
    </row>
    <row r="44" spans="2:28" ht="20.25" customHeight="1">
      <c r="B44" s="837"/>
      <c r="C44" s="838"/>
      <c r="D44" s="831"/>
      <c r="E44" s="831"/>
      <c r="F44" s="831"/>
      <c r="G44" s="831"/>
      <c r="H44" s="831"/>
      <c r="I44" s="831"/>
      <c r="J44" s="831"/>
      <c r="K44" s="831"/>
      <c r="L44" s="831"/>
      <c r="M44" s="831"/>
      <c r="N44" s="88"/>
      <c r="O44" s="831"/>
      <c r="P44" s="831"/>
      <c r="Q44" s="831"/>
      <c r="R44" s="831"/>
      <c r="S44" s="1066"/>
      <c r="T44" s="1067"/>
      <c r="U44" s="1067"/>
      <c r="V44" s="1067"/>
      <c r="W44" s="1067"/>
      <c r="X44" s="1067"/>
      <c r="Y44" s="1067"/>
      <c r="Z44" s="1068"/>
      <c r="AA44" s="831"/>
      <c r="AB44" s="832"/>
    </row>
    <row r="45" spans="2:28" ht="20.25" customHeight="1">
      <c r="B45" s="837"/>
      <c r="C45" s="838"/>
      <c r="D45" s="831"/>
      <c r="E45" s="831"/>
      <c r="F45" s="831"/>
      <c r="G45" s="831"/>
      <c r="H45" s="831"/>
      <c r="I45" s="831"/>
      <c r="J45" s="831"/>
      <c r="K45" s="831"/>
      <c r="L45" s="831"/>
      <c r="M45" s="831"/>
      <c r="N45" s="88"/>
      <c r="O45" s="831"/>
      <c r="P45" s="831"/>
      <c r="Q45" s="831"/>
      <c r="R45" s="831"/>
      <c r="S45" s="831"/>
      <c r="T45" s="831"/>
      <c r="U45" s="831"/>
      <c r="V45" s="831"/>
      <c r="W45" s="831"/>
      <c r="X45" s="831"/>
      <c r="Y45" s="831"/>
      <c r="Z45" s="831"/>
      <c r="AA45" s="831"/>
      <c r="AB45" s="832"/>
    </row>
    <row r="46" spans="2:28" ht="20.25" customHeight="1">
      <c r="B46" s="837"/>
      <c r="C46" s="838"/>
      <c r="D46" s="831"/>
      <c r="E46" s="831"/>
      <c r="F46" s="831"/>
      <c r="G46" s="831"/>
      <c r="H46" s="831"/>
      <c r="I46" s="831"/>
      <c r="J46" s="831"/>
      <c r="K46" s="831"/>
      <c r="L46" s="831"/>
      <c r="M46" s="831"/>
      <c r="N46" s="88"/>
      <c r="O46" s="831"/>
      <c r="P46" s="831"/>
      <c r="Q46" s="831"/>
      <c r="R46" s="831"/>
      <c r="S46" s="831"/>
      <c r="T46" s="831"/>
      <c r="U46" s="831"/>
      <c r="V46" s="831"/>
      <c r="W46" s="831"/>
      <c r="X46" s="831"/>
      <c r="Y46" s="831"/>
      <c r="Z46" s="831"/>
      <c r="AA46" s="831"/>
      <c r="AB46" s="832"/>
    </row>
    <row r="47" spans="2:28" ht="20.25" customHeight="1">
      <c r="B47" s="837"/>
      <c r="C47" s="838"/>
      <c r="D47" s="831"/>
      <c r="E47" s="831"/>
      <c r="F47" s="831"/>
      <c r="G47" s="831"/>
      <c r="H47" s="831"/>
      <c r="I47" s="831"/>
      <c r="J47" s="831"/>
      <c r="K47" s="831"/>
      <c r="L47" s="831"/>
      <c r="M47" s="831"/>
      <c r="N47" s="88"/>
      <c r="O47" s="831"/>
      <c r="P47" s="831"/>
      <c r="Q47" s="831"/>
      <c r="R47" s="831"/>
      <c r="S47" s="831"/>
      <c r="T47" s="831"/>
      <c r="U47" s="831"/>
      <c r="V47" s="831"/>
      <c r="W47" s="831"/>
      <c r="X47" s="831"/>
      <c r="Y47" s="831"/>
      <c r="Z47" s="831"/>
      <c r="AA47" s="831"/>
      <c r="AB47" s="832"/>
    </row>
    <row r="48" spans="2:28" ht="20.25" customHeight="1">
      <c r="B48" s="837"/>
      <c r="C48" s="838"/>
      <c r="D48" s="831"/>
      <c r="E48" s="831"/>
      <c r="F48" s="831"/>
      <c r="G48" s="831"/>
      <c r="H48" s="831"/>
      <c r="I48" s="831"/>
      <c r="J48" s="831"/>
      <c r="K48" s="831"/>
      <c r="L48" s="831"/>
      <c r="M48" s="831"/>
      <c r="N48" s="88"/>
      <c r="O48" s="831"/>
      <c r="P48" s="831"/>
      <c r="Q48" s="831"/>
      <c r="R48" s="831"/>
      <c r="S48" s="831"/>
      <c r="T48" s="831"/>
      <c r="U48" s="831"/>
      <c r="V48" s="831"/>
      <c r="W48" s="831"/>
      <c r="X48" s="831"/>
      <c r="Y48" s="831"/>
      <c r="Z48" s="831"/>
      <c r="AA48" s="831"/>
      <c r="AB48" s="832"/>
    </row>
    <row r="49" spans="2:28" ht="12.75">
      <c r="B49" s="78"/>
      <c r="C49" s="79"/>
      <c r="D49" s="79"/>
      <c r="E49" s="79"/>
      <c r="F49" s="79"/>
      <c r="G49" s="79"/>
      <c r="H49" s="79"/>
      <c r="I49" s="79"/>
      <c r="J49" s="79"/>
      <c r="K49" s="79"/>
      <c r="L49" s="79"/>
      <c r="M49" s="79"/>
      <c r="N49" s="79"/>
      <c r="O49" s="79"/>
      <c r="P49" s="79"/>
      <c r="Q49" s="79"/>
      <c r="R49" s="79"/>
      <c r="S49" s="79"/>
      <c r="T49" s="79"/>
      <c r="U49" s="79"/>
      <c r="V49" s="79"/>
      <c r="W49" s="79"/>
      <c r="X49" s="79"/>
      <c r="Y49" s="79"/>
      <c r="Z49" s="79"/>
      <c r="AA49" s="79"/>
      <c r="AB49" s="80"/>
    </row>
    <row r="50" spans="2:28" ht="12.75">
      <c r="B50" s="78"/>
      <c r="C50" s="79"/>
      <c r="D50" s="79"/>
      <c r="E50" s="79"/>
      <c r="F50" s="79"/>
      <c r="G50" s="79"/>
      <c r="H50" s="79"/>
      <c r="I50" s="79"/>
      <c r="J50" s="79"/>
      <c r="K50" s="79"/>
      <c r="L50" s="79"/>
      <c r="M50" s="79"/>
      <c r="N50" s="79"/>
      <c r="O50" s="79"/>
      <c r="P50" s="79"/>
      <c r="Q50" s="79"/>
      <c r="R50" s="79"/>
      <c r="S50" s="79"/>
      <c r="T50" s="79"/>
      <c r="U50" s="79"/>
      <c r="V50" s="79"/>
      <c r="W50" s="79"/>
      <c r="X50" s="79"/>
      <c r="Y50" s="79"/>
      <c r="Z50" s="79"/>
      <c r="AA50" s="79"/>
      <c r="AB50" s="80"/>
    </row>
    <row r="51" spans="2:28" ht="12.75">
      <c r="B51" s="78"/>
      <c r="C51" s="839"/>
      <c r="D51" s="839"/>
      <c r="E51" s="839"/>
      <c r="F51" s="839"/>
      <c r="G51" s="79"/>
      <c r="H51" s="79"/>
      <c r="I51" s="79"/>
      <c r="J51" s="79"/>
      <c r="K51" s="79"/>
      <c r="L51" s="79"/>
      <c r="M51" s="79"/>
      <c r="N51" s="79"/>
      <c r="O51" s="79"/>
      <c r="P51" s="79"/>
      <c r="Q51" s="840"/>
      <c r="R51" s="840"/>
      <c r="S51" s="840"/>
      <c r="T51" s="840"/>
      <c r="U51" s="840"/>
      <c r="V51" s="840"/>
      <c r="W51" s="79"/>
      <c r="X51" s="840"/>
      <c r="Y51" s="840"/>
      <c r="Z51" s="840"/>
      <c r="AA51" s="840"/>
      <c r="AB51" s="841"/>
    </row>
    <row r="52" spans="2:28" ht="12.75">
      <c r="B52" s="842" t="s">
        <v>37</v>
      </c>
      <c r="C52" s="843"/>
      <c r="D52" s="843"/>
      <c r="E52" s="843"/>
      <c r="F52" s="843"/>
      <c r="G52" s="843"/>
      <c r="H52" s="79"/>
      <c r="I52" s="843" t="s">
        <v>125</v>
      </c>
      <c r="J52" s="843"/>
      <c r="K52" s="843"/>
      <c r="L52" s="843"/>
      <c r="M52" s="843"/>
      <c r="N52" s="843"/>
      <c r="O52" s="843"/>
      <c r="P52" s="79"/>
      <c r="Q52" s="843" t="s">
        <v>126</v>
      </c>
      <c r="R52" s="843"/>
      <c r="S52" s="843"/>
      <c r="T52" s="843"/>
      <c r="U52" s="843"/>
      <c r="V52" s="843"/>
      <c r="W52" s="79"/>
      <c r="X52" s="843" t="s">
        <v>23</v>
      </c>
      <c r="Y52" s="843"/>
      <c r="Z52" s="843"/>
      <c r="AA52" s="843"/>
      <c r="AB52" s="844"/>
    </row>
    <row r="53" spans="2:28" ht="11.25" customHeight="1" thickBot="1">
      <c r="B53" s="89"/>
      <c r="C53" s="90"/>
      <c r="D53" s="90"/>
      <c r="E53" s="90"/>
      <c r="F53" s="90"/>
      <c r="G53" s="90"/>
      <c r="H53" s="90"/>
      <c r="I53" s="90"/>
      <c r="J53" s="90"/>
      <c r="K53" s="90"/>
      <c r="L53" s="90"/>
      <c r="M53" s="90"/>
      <c r="N53" s="90"/>
      <c r="O53" s="90"/>
      <c r="P53" s="90"/>
      <c r="Q53" s="90"/>
      <c r="R53" s="90"/>
      <c r="S53" s="90"/>
      <c r="T53" s="90"/>
      <c r="U53" s="90"/>
      <c r="V53" s="90"/>
      <c r="W53" s="90"/>
      <c r="X53" s="90"/>
      <c r="Y53" s="90"/>
      <c r="Z53" s="90"/>
      <c r="AA53" s="90"/>
      <c r="AB53" s="91"/>
    </row>
    <row r="54" spans="2:28" ht="9" customHeight="1"/>
  </sheetData>
  <mergeCells count="356">
    <mergeCell ref="AA47:AB47"/>
    <mergeCell ref="B47:C47"/>
    <mergeCell ref="D47:E47"/>
    <mergeCell ref="F47:G47"/>
    <mergeCell ref="H47:I47"/>
    <mergeCell ref="J47:K47"/>
    <mergeCell ref="L47:M47"/>
    <mergeCell ref="O47:P47"/>
    <mergeCell ref="Q47:R47"/>
    <mergeCell ref="S47:Z47"/>
    <mergeCell ref="AA45:AB45"/>
    <mergeCell ref="B46:C46"/>
    <mergeCell ref="D46:E46"/>
    <mergeCell ref="F46:G46"/>
    <mergeCell ref="H46:I46"/>
    <mergeCell ref="J46:K46"/>
    <mergeCell ref="L46:M46"/>
    <mergeCell ref="O46:P46"/>
    <mergeCell ref="Q46:R46"/>
    <mergeCell ref="S46:Z46"/>
    <mergeCell ref="AA46:AB46"/>
    <mergeCell ref="B45:C45"/>
    <mergeCell ref="D45:E45"/>
    <mergeCell ref="F45:G45"/>
    <mergeCell ref="H45:I45"/>
    <mergeCell ref="J45:K45"/>
    <mergeCell ref="L45:M45"/>
    <mergeCell ref="O45:P45"/>
    <mergeCell ref="Q45:R45"/>
    <mergeCell ref="S45:Z45"/>
    <mergeCell ref="AA43:AB43"/>
    <mergeCell ref="B44:C44"/>
    <mergeCell ref="D44:E44"/>
    <mergeCell ref="F44:G44"/>
    <mergeCell ref="H44:I44"/>
    <mergeCell ref="J44:K44"/>
    <mergeCell ref="L44:M44"/>
    <mergeCell ref="O44:P44"/>
    <mergeCell ref="Q44:R44"/>
    <mergeCell ref="S44:Z44"/>
    <mergeCell ref="AA44:AB44"/>
    <mergeCell ref="B43:C43"/>
    <mergeCell ref="D43:E43"/>
    <mergeCell ref="F43:G43"/>
    <mergeCell ref="H43:I43"/>
    <mergeCell ref="J43:K43"/>
    <mergeCell ref="L43:M43"/>
    <mergeCell ref="O43:P43"/>
    <mergeCell ref="Q43:R43"/>
    <mergeCell ref="S43:Z43"/>
    <mergeCell ref="AA41:AB41"/>
    <mergeCell ref="B42:C42"/>
    <mergeCell ref="D42:E42"/>
    <mergeCell ref="F42:G42"/>
    <mergeCell ref="H42:I42"/>
    <mergeCell ref="J42:K42"/>
    <mergeCell ref="L42:M42"/>
    <mergeCell ref="O42:P42"/>
    <mergeCell ref="Q42:R42"/>
    <mergeCell ref="S42:Z42"/>
    <mergeCell ref="AA42:AB42"/>
    <mergeCell ref="B41:C41"/>
    <mergeCell ref="D41:E41"/>
    <mergeCell ref="F41:G41"/>
    <mergeCell ref="H41:I41"/>
    <mergeCell ref="J41:K41"/>
    <mergeCell ref="L41:M41"/>
    <mergeCell ref="O41:P41"/>
    <mergeCell ref="Q41:R41"/>
    <mergeCell ref="S41:Z41"/>
    <mergeCell ref="B2:B3"/>
    <mergeCell ref="G2:V3"/>
    <mergeCell ref="W2:Y2"/>
    <mergeCell ref="Z2:AB2"/>
    <mergeCell ref="W3:Y3"/>
    <mergeCell ref="Z3:AB3"/>
    <mergeCell ref="I8:M8"/>
    <mergeCell ref="X8:AB8"/>
    <mergeCell ref="Q9:AB9"/>
    <mergeCell ref="Q10:AB10"/>
    <mergeCell ref="Q11:AB11"/>
    <mergeCell ref="B13:AB13"/>
    <mergeCell ref="D5:J5"/>
    <mergeCell ref="M5:S5"/>
    <mergeCell ref="W5:AB5"/>
    <mergeCell ref="I6:M6"/>
    <mergeCell ref="X6:AB6"/>
    <mergeCell ref="F7:G7"/>
    <mergeCell ref="L7:M7"/>
    <mergeCell ref="T7:U7"/>
    <mergeCell ref="AA7:AB7"/>
    <mergeCell ref="O15:R15"/>
    <mergeCell ref="S15:Z17"/>
    <mergeCell ref="AA15:AB17"/>
    <mergeCell ref="B16:C16"/>
    <mergeCell ref="D16:M16"/>
    <mergeCell ref="O16:P16"/>
    <mergeCell ref="Q16:R16"/>
    <mergeCell ref="O17:P17"/>
    <mergeCell ref="Q17:R17"/>
    <mergeCell ref="B17:C17"/>
    <mergeCell ref="D17:E17"/>
    <mergeCell ref="F17:G17"/>
    <mergeCell ref="H17:I17"/>
    <mergeCell ref="J17:K17"/>
    <mergeCell ref="L17:M17"/>
    <mergeCell ref="B15:C15"/>
    <mergeCell ref="D15:M15"/>
    <mergeCell ref="N15:N16"/>
    <mergeCell ref="S18:Z18"/>
    <mergeCell ref="AA18:AB18"/>
    <mergeCell ref="B19:C19"/>
    <mergeCell ref="D19:E19"/>
    <mergeCell ref="F19:G19"/>
    <mergeCell ref="H19:I19"/>
    <mergeCell ref="J19:K19"/>
    <mergeCell ref="L19:M19"/>
    <mergeCell ref="O19:P19"/>
    <mergeCell ref="Q19:R19"/>
    <mergeCell ref="S19:Z19"/>
    <mergeCell ref="AA19:AB19"/>
    <mergeCell ref="B18:C18"/>
    <mergeCell ref="D18:E18"/>
    <mergeCell ref="F18:G18"/>
    <mergeCell ref="H18:I18"/>
    <mergeCell ref="J18:K18"/>
    <mergeCell ref="L18:M18"/>
    <mergeCell ref="O18:P18"/>
    <mergeCell ref="Q18:R18"/>
    <mergeCell ref="AA20:AB20"/>
    <mergeCell ref="B21:C21"/>
    <mergeCell ref="D21:E21"/>
    <mergeCell ref="F21:G21"/>
    <mergeCell ref="H21:I21"/>
    <mergeCell ref="J21:K21"/>
    <mergeCell ref="L21:M21"/>
    <mergeCell ref="O21:P21"/>
    <mergeCell ref="Q21:R21"/>
    <mergeCell ref="S21:Z21"/>
    <mergeCell ref="AA21:AB21"/>
    <mergeCell ref="B20:C20"/>
    <mergeCell ref="D20:E20"/>
    <mergeCell ref="F20:G20"/>
    <mergeCell ref="H20:I20"/>
    <mergeCell ref="J20:K20"/>
    <mergeCell ref="L20:M20"/>
    <mergeCell ref="O20:P20"/>
    <mergeCell ref="Q20:R20"/>
    <mergeCell ref="S20:Z20"/>
    <mergeCell ref="AA22:AB22"/>
    <mergeCell ref="B23:C23"/>
    <mergeCell ref="D23:E23"/>
    <mergeCell ref="F23:G23"/>
    <mergeCell ref="H23:I23"/>
    <mergeCell ref="J23:K23"/>
    <mergeCell ref="L23:M23"/>
    <mergeCell ref="O23:P23"/>
    <mergeCell ref="Q23:R23"/>
    <mergeCell ref="S23:Z23"/>
    <mergeCell ref="AA23:AB23"/>
    <mergeCell ref="B22:C22"/>
    <mergeCell ref="D22:E22"/>
    <mergeCell ref="F22:G22"/>
    <mergeCell ref="H22:I22"/>
    <mergeCell ref="J22:K22"/>
    <mergeCell ref="L22:M22"/>
    <mergeCell ref="O22:P22"/>
    <mergeCell ref="Q22:R22"/>
    <mergeCell ref="S22:Z22"/>
    <mergeCell ref="AA24:AB24"/>
    <mergeCell ref="B25:C25"/>
    <mergeCell ref="D25:E25"/>
    <mergeCell ref="F25:G25"/>
    <mergeCell ref="H25:I25"/>
    <mergeCell ref="J25:K25"/>
    <mergeCell ref="L25:M25"/>
    <mergeCell ref="O25:P25"/>
    <mergeCell ref="Q25:R25"/>
    <mergeCell ref="S25:Z25"/>
    <mergeCell ref="AA25:AB25"/>
    <mergeCell ref="B24:C24"/>
    <mergeCell ref="D24:E24"/>
    <mergeCell ref="F24:G24"/>
    <mergeCell ref="H24:I24"/>
    <mergeCell ref="J24:K24"/>
    <mergeCell ref="L24:M24"/>
    <mergeCell ref="O24:P24"/>
    <mergeCell ref="Q24:R24"/>
    <mergeCell ref="S24:Z24"/>
    <mergeCell ref="AA26:AB26"/>
    <mergeCell ref="B27:C27"/>
    <mergeCell ref="D27:E27"/>
    <mergeCell ref="F27:G27"/>
    <mergeCell ref="H27:I27"/>
    <mergeCell ref="J27:K27"/>
    <mergeCell ref="L27:M27"/>
    <mergeCell ref="O27:P27"/>
    <mergeCell ref="Q27:R27"/>
    <mergeCell ref="S27:Z27"/>
    <mergeCell ref="AA27:AB27"/>
    <mergeCell ref="B26:C26"/>
    <mergeCell ref="D26:E26"/>
    <mergeCell ref="F26:G26"/>
    <mergeCell ref="H26:I26"/>
    <mergeCell ref="J26:K26"/>
    <mergeCell ref="L26:M26"/>
    <mergeCell ref="O26:P26"/>
    <mergeCell ref="Q26:R26"/>
    <mergeCell ref="S26:Z26"/>
    <mergeCell ref="AA28:AB28"/>
    <mergeCell ref="B29:C29"/>
    <mergeCell ref="D29:E29"/>
    <mergeCell ref="F29:G29"/>
    <mergeCell ref="H29:I29"/>
    <mergeCell ref="J29:K29"/>
    <mergeCell ref="L29:M29"/>
    <mergeCell ref="O29:P29"/>
    <mergeCell ref="Q29:R29"/>
    <mergeCell ref="S29:Z29"/>
    <mergeCell ref="AA29:AB29"/>
    <mergeCell ref="B28:C28"/>
    <mergeCell ref="D28:E28"/>
    <mergeCell ref="F28:G28"/>
    <mergeCell ref="H28:I28"/>
    <mergeCell ref="J28:K28"/>
    <mergeCell ref="L28:M28"/>
    <mergeCell ref="O28:P28"/>
    <mergeCell ref="Q28:R28"/>
    <mergeCell ref="S28:Z28"/>
    <mergeCell ref="AA30:AB30"/>
    <mergeCell ref="B31:C31"/>
    <mergeCell ref="D31:E31"/>
    <mergeCell ref="F31:G31"/>
    <mergeCell ref="H31:I31"/>
    <mergeCell ref="J31:K31"/>
    <mergeCell ref="L31:M31"/>
    <mergeCell ref="O31:P31"/>
    <mergeCell ref="Q31:R31"/>
    <mergeCell ref="S31:Z31"/>
    <mergeCell ref="AA31:AB31"/>
    <mergeCell ref="B30:C30"/>
    <mergeCell ref="D30:E30"/>
    <mergeCell ref="F30:G30"/>
    <mergeCell ref="H30:I30"/>
    <mergeCell ref="J30:K30"/>
    <mergeCell ref="L30:M30"/>
    <mergeCell ref="O30:P30"/>
    <mergeCell ref="Q30:R30"/>
    <mergeCell ref="S30:Z30"/>
    <mergeCell ref="AA32:AB32"/>
    <mergeCell ref="B33:C33"/>
    <mergeCell ref="D33:E33"/>
    <mergeCell ref="F33:G33"/>
    <mergeCell ref="H33:I33"/>
    <mergeCell ref="J33:K33"/>
    <mergeCell ref="L33:M33"/>
    <mergeCell ref="O33:P33"/>
    <mergeCell ref="Q33:R33"/>
    <mergeCell ref="S33:Z33"/>
    <mergeCell ref="AA33:AB33"/>
    <mergeCell ref="B32:C32"/>
    <mergeCell ref="D32:E32"/>
    <mergeCell ref="F32:G32"/>
    <mergeCell ref="H32:I32"/>
    <mergeCell ref="J32:K32"/>
    <mergeCell ref="L32:M32"/>
    <mergeCell ref="O32:P32"/>
    <mergeCell ref="Q32:R32"/>
    <mergeCell ref="S32:Z32"/>
    <mergeCell ref="AA34:AB34"/>
    <mergeCell ref="B35:C35"/>
    <mergeCell ref="D35:E35"/>
    <mergeCell ref="F35:G35"/>
    <mergeCell ref="H35:I35"/>
    <mergeCell ref="J35:K35"/>
    <mergeCell ref="L35:M35"/>
    <mergeCell ref="O35:P35"/>
    <mergeCell ref="Q35:R35"/>
    <mergeCell ref="S35:Z35"/>
    <mergeCell ref="AA35:AB35"/>
    <mergeCell ref="B34:C34"/>
    <mergeCell ref="D34:E34"/>
    <mergeCell ref="F34:G34"/>
    <mergeCell ref="H34:I34"/>
    <mergeCell ref="J34:K34"/>
    <mergeCell ref="L34:M34"/>
    <mergeCell ref="O34:P34"/>
    <mergeCell ref="Q34:R34"/>
    <mergeCell ref="S34:Z34"/>
    <mergeCell ref="AA36:AB36"/>
    <mergeCell ref="B37:C37"/>
    <mergeCell ref="D37:E37"/>
    <mergeCell ref="F37:G37"/>
    <mergeCell ref="H37:I37"/>
    <mergeCell ref="J37:K37"/>
    <mergeCell ref="L37:M37"/>
    <mergeCell ref="O37:P37"/>
    <mergeCell ref="Q37:R37"/>
    <mergeCell ref="S37:Z37"/>
    <mergeCell ref="AA37:AB37"/>
    <mergeCell ref="B36:C36"/>
    <mergeCell ref="D36:E36"/>
    <mergeCell ref="F36:G36"/>
    <mergeCell ref="H36:I36"/>
    <mergeCell ref="J36:K36"/>
    <mergeCell ref="L36:M36"/>
    <mergeCell ref="O36:P36"/>
    <mergeCell ref="Q36:R36"/>
    <mergeCell ref="S36:Z36"/>
    <mergeCell ref="O40:P40"/>
    <mergeCell ref="Q40:R40"/>
    <mergeCell ref="S40:Z40"/>
    <mergeCell ref="AA38:AB38"/>
    <mergeCell ref="B39:C39"/>
    <mergeCell ref="D39:E39"/>
    <mergeCell ref="F39:G39"/>
    <mergeCell ref="H39:I39"/>
    <mergeCell ref="J39:K39"/>
    <mergeCell ref="L39:M39"/>
    <mergeCell ref="O39:P39"/>
    <mergeCell ref="Q39:R39"/>
    <mergeCell ref="S39:Z39"/>
    <mergeCell ref="AA39:AB39"/>
    <mergeCell ref="B38:C38"/>
    <mergeCell ref="D38:E38"/>
    <mergeCell ref="F38:G38"/>
    <mergeCell ref="H38:I38"/>
    <mergeCell ref="J38:K38"/>
    <mergeCell ref="L38:M38"/>
    <mergeCell ref="O38:P38"/>
    <mergeCell ref="Q38:R38"/>
    <mergeCell ref="S38:Z38"/>
    <mergeCell ref="C51:F51"/>
    <mergeCell ref="Q51:V51"/>
    <mergeCell ref="X51:AB51"/>
    <mergeCell ref="B52:G52"/>
    <mergeCell ref="I52:O52"/>
    <mergeCell ref="Q52:V52"/>
    <mergeCell ref="X52:AB52"/>
    <mergeCell ref="AA40:AB40"/>
    <mergeCell ref="B48:C48"/>
    <mergeCell ref="D48:E48"/>
    <mergeCell ref="F48:G48"/>
    <mergeCell ref="H48:I48"/>
    <mergeCell ref="J48:K48"/>
    <mergeCell ref="L48:M48"/>
    <mergeCell ref="O48:P48"/>
    <mergeCell ref="Q48:R48"/>
    <mergeCell ref="S48:Z48"/>
    <mergeCell ref="AA48:AB48"/>
    <mergeCell ref="B40:C40"/>
    <mergeCell ref="D40:E40"/>
    <mergeCell ref="F40:G40"/>
    <mergeCell ref="H40:I40"/>
    <mergeCell ref="J40:K40"/>
    <mergeCell ref="L40:M40"/>
  </mergeCells>
  <printOptions horizontalCentered="1" verticalCentered="1"/>
  <pageMargins left="0.31496062992125984" right="0.31496062992125984" top="0.35433070866141736" bottom="0.15748031496062992" header="0.31496062992125984" footer="0.31496062992125984"/>
  <pageSetup paperSize="9" scale="85"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1">
    <pageSetUpPr fitToPage="1"/>
  </sheetPr>
  <dimension ref="B1:T194"/>
  <sheetViews>
    <sheetView workbookViewId="0"/>
  </sheetViews>
  <sheetFormatPr baseColWidth="10" defaultColWidth="0" defaultRowHeight="0" customHeight="1" zeroHeight="1"/>
  <cols>
    <col min="1" max="1" width="1.28515625" style="40" customWidth="1"/>
    <col min="2" max="4" width="9" style="40" customWidth="1"/>
    <col min="5" max="5" width="9.85546875" style="40" customWidth="1"/>
    <col min="6" max="9" width="9" style="40" customWidth="1"/>
    <col min="10" max="10" width="11.28515625" style="40" customWidth="1"/>
    <col min="11" max="11" width="10.85546875" style="40" customWidth="1"/>
    <col min="12" max="12" width="11.5703125" style="40" customWidth="1"/>
    <col min="13" max="13" width="10.28515625" style="40" customWidth="1"/>
    <col min="14" max="14" width="1.5703125" style="40" customWidth="1"/>
    <col min="15" max="15" width="1.28515625" style="40" customWidth="1"/>
    <col min="16" max="16" width="8.5703125" style="40" hidden="1" customWidth="1"/>
    <col min="17" max="18" width="0" style="40" hidden="1" customWidth="1"/>
    <col min="19" max="19" width="8.28515625" style="40" hidden="1" customWidth="1"/>
    <col min="20" max="20" width="9.7109375" style="40" hidden="1" customWidth="1"/>
    <col min="21" max="16384" width="0" style="40" hidden="1"/>
  </cols>
  <sheetData>
    <row r="1" spans="2:17" ht="9" customHeight="1" thickBot="1"/>
    <row r="2" spans="2:17" ht="19.5" customHeight="1">
      <c r="B2" s="41"/>
      <c r="C2" s="42"/>
      <c r="D2" s="42"/>
      <c r="E2" s="851" t="s">
        <v>208</v>
      </c>
      <c r="F2" s="625"/>
      <c r="G2" s="625"/>
      <c r="H2" s="625"/>
      <c r="I2" s="625"/>
      <c r="J2" s="625"/>
      <c r="K2" s="1096"/>
      <c r="L2" s="43" t="s">
        <v>32</v>
      </c>
      <c r="M2" s="44" t="s">
        <v>2</v>
      </c>
      <c r="N2" s="45"/>
    </row>
    <row r="3" spans="2:17" ht="20.25" customHeight="1" thickBot="1">
      <c r="B3" s="46"/>
      <c r="C3" s="47"/>
      <c r="D3" s="47"/>
      <c r="E3" s="626"/>
      <c r="F3" s="626"/>
      <c r="G3" s="626"/>
      <c r="H3" s="626"/>
      <c r="I3" s="626"/>
      <c r="J3" s="626"/>
      <c r="K3" s="1097"/>
      <c r="L3" s="48" t="s">
        <v>33</v>
      </c>
      <c r="M3" s="49">
        <v>42917</v>
      </c>
      <c r="N3" s="50"/>
    </row>
    <row r="4" spans="2:17" ht="18.75">
      <c r="B4" s="149"/>
      <c r="C4" s="150"/>
      <c r="D4" s="150"/>
      <c r="E4" s="150"/>
      <c r="F4" s="151"/>
      <c r="G4" s="151"/>
      <c r="H4" s="151"/>
      <c r="I4" s="151"/>
      <c r="J4" s="151"/>
      <c r="K4" s="151"/>
      <c r="L4" s="151"/>
      <c r="M4" s="151"/>
      <c r="N4" s="152"/>
    </row>
    <row r="5" spans="2:17" ht="18" customHeight="1">
      <c r="B5" s="51" t="s">
        <v>34</v>
      </c>
      <c r="C5" s="1098" t="s">
        <v>6</v>
      </c>
      <c r="D5" s="1098"/>
      <c r="E5" s="1098"/>
      <c r="F5" s="52" t="s">
        <v>35</v>
      </c>
      <c r="G5" s="1098">
        <f>'Data Entry'!B13</f>
        <v>0</v>
      </c>
      <c r="H5" s="1098"/>
      <c r="I5" s="1098"/>
      <c r="J5" s="1098"/>
      <c r="K5" s="52"/>
      <c r="L5" s="52" t="s">
        <v>36</v>
      </c>
      <c r="M5" s="771">
        <f>'Data Entry'!B11</f>
        <v>0</v>
      </c>
      <c r="N5" s="772"/>
    </row>
    <row r="6" spans="2:17" ht="18" customHeight="1">
      <c r="B6" s="51"/>
      <c r="C6" s="52"/>
      <c r="D6" s="52"/>
      <c r="E6" s="52"/>
      <c r="F6" s="52"/>
      <c r="G6" s="52"/>
      <c r="H6" s="52"/>
      <c r="I6" s="52"/>
      <c r="J6" s="52"/>
      <c r="K6" s="52"/>
      <c r="L6" s="52"/>
      <c r="M6" s="52"/>
      <c r="N6" s="54"/>
    </row>
    <row r="7" spans="2:17" ht="18" customHeight="1">
      <c r="B7" s="51" t="s">
        <v>37</v>
      </c>
      <c r="C7" s="1099" t="s">
        <v>267</v>
      </c>
      <c r="D7" s="1099"/>
      <c r="E7" s="1099"/>
      <c r="F7" s="52" t="s">
        <v>38</v>
      </c>
      <c r="G7" s="668" t="s">
        <v>266</v>
      </c>
      <c r="H7" s="668"/>
      <c r="I7" s="668"/>
      <c r="J7" s="668"/>
      <c r="K7" s="52"/>
      <c r="L7" s="52" t="s">
        <v>39</v>
      </c>
      <c r="M7" s="856">
        <f ca="1">TODAY()</f>
        <v>46025</v>
      </c>
      <c r="N7" s="857"/>
    </row>
    <row r="8" spans="2:17" ht="4.1500000000000004" customHeight="1">
      <c r="B8" s="51"/>
      <c r="C8" s="55"/>
      <c r="D8" s="55"/>
      <c r="E8" s="55"/>
      <c r="F8" s="52"/>
      <c r="G8" s="52"/>
      <c r="H8" s="52"/>
      <c r="I8" s="55"/>
      <c r="J8" s="55"/>
      <c r="K8" s="55"/>
      <c r="L8" s="52"/>
      <c r="M8" s="52"/>
      <c r="N8" s="54"/>
    </row>
    <row r="9" spans="2:17" ht="18" customHeight="1">
      <c r="B9" s="1087" t="s">
        <v>201</v>
      </c>
      <c r="C9" s="1088"/>
      <c r="D9" s="1088"/>
      <c r="E9" s="1088"/>
      <c r="F9" s="1088"/>
      <c r="G9" s="1088"/>
      <c r="H9" s="1088"/>
      <c r="I9" s="1088"/>
      <c r="J9" s="1088"/>
      <c r="K9" s="1088"/>
      <c r="L9" s="1088"/>
      <c r="M9" s="1088"/>
      <c r="N9" s="1089"/>
      <c r="Q9" s="56"/>
    </row>
    <row r="10" spans="2:17" ht="18" customHeight="1">
      <c r="B10" s="51"/>
      <c r="C10" s="1095" t="s">
        <v>205</v>
      </c>
      <c r="D10" s="1095"/>
      <c r="E10" s="1095"/>
      <c r="F10" s="1095"/>
      <c r="G10" s="1095"/>
      <c r="H10" s="1095"/>
      <c r="I10" s="1095"/>
      <c r="J10" s="1095"/>
      <c r="K10" s="1095"/>
      <c r="L10" s="1095"/>
      <c r="M10" s="52"/>
      <c r="N10" s="54"/>
    </row>
    <row r="11" spans="2:17" ht="18" customHeight="1">
      <c r="B11" s="58">
        <v>1</v>
      </c>
      <c r="C11" s="190" t="s">
        <v>196</v>
      </c>
      <c r="D11" s="175" t="s">
        <v>204</v>
      </c>
      <c r="E11" s="1090">
        <v>500</v>
      </c>
      <c r="F11" s="1091"/>
      <c r="G11" s="175" t="s">
        <v>202</v>
      </c>
      <c r="H11" s="1090">
        <v>2500</v>
      </c>
      <c r="I11" s="1091"/>
      <c r="J11" s="1100" t="s">
        <v>203</v>
      </c>
      <c r="K11" s="1101"/>
      <c r="L11" s="173">
        <v>8</v>
      </c>
      <c r="M11" s="52"/>
      <c r="N11" s="54"/>
    </row>
    <row r="12" spans="2:17" ht="18" customHeight="1">
      <c r="B12" s="58">
        <v>4</v>
      </c>
      <c r="C12" s="191" t="s">
        <v>197</v>
      </c>
      <c r="D12" s="177" t="s">
        <v>204</v>
      </c>
      <c r="E12" s="1092">
        <v>500</v>
      </c>
      <c r="F12" s="1093"/>
      <c r="G12" s="177" t="s">
        <v>202</v>
      </c>
      <c r="H12" s="1092">
        <v>2500</v>
      </c>
      <c r="I12" s="1093"/>
      <c r="J12" s="1100" t="s">
        <v>203</v>
      </c>
      <c r="K12" s="1101"/>
      <c r="L12" s="174">
        <v>8</v>
      </c>
      <c r="M12" s="52"/>
      <c r="N12" s="54"/>
    </row>
    <row r="13" spans="2:17" ht="18" customHeight="1">
      <c r="B13" s="58">
        <v>3</v>
      </c>
      <c r="C13" s="192" t="s">
        <v>198</v>
      </c>
      <c r="D13" s="177" t="s">
        <v>204</v>
      </c>
      <c r="E13" s="1092">
        <v>500</v>
      </c>
      <c r="F13" s="1093"/>
      <c r="G13" s="177" t="s">
        <v>202</v>
      </c>
      <c r="H13" s="1092">
        <v>1500</v>
      </c>
      <c r="I13" s="1093"/>
      <c r="J13" s="1100" t="s">
        <v>203</v>
      </c>
      <c r="K13" s="1101"/>
      <c r="L13" s="174">
        <v>8</v>
      </c>
      <c r="M13" s="52"/>
      <c r="N13" s="54"/>
    </row>
    <row r="14" spans="2:17" ht="18" customHeight="1">
      <c r="B14" s="58">
        <v>2</v>
      </c>
      <c r="C14" s="189" t="s">
        <v>199</v>
      </c>
      <c r="D14" s="177" t="s">
        <v>204</v>
      </c>
      <c r="E14" s="1092">
        <v>500</v>
      </c>
      <c r="F14" s="1093"/>
      <c r="G14" s="177" t="s">
        <v>202</v>
      </c>
      <c r="H14" s="1092">
        <v>1500</v>
      </c>
      <c r="I14" s="1093"/>
      <c r="J14" s="1100" t="s">
        <v>203</v>
      </c>
      <c r="K14" s="1101"/>
      <c r="L14" s="174">
        <v>8</v>
      </c>
      <c r="M14" s="52"/>
      <c r="N14" s="54"/>
    </row>
    <row r="15" spans="2:17" ht="18" customHeight="1">
      <c r="B15" s="58"/>
      <c r="C15" s="1094"/>
      <c r="D15" s="1094"/>
      <c r="E15" s="1094"/>
      <c r="F15" s="1094"/>
      <c r="G15" s="1094"/>
      <c r="H15" s="1094"/>
      <c r="I15" s="1094"/>
      <c r="J15" s="1094"/>
      <c r="K15" s="1094"/>
      <c r="L15" s="1094"/>
      <c r="M15" s="52"/>
      <c r="N15" s="54"/>
    </row>
    <row r="16" spans="2:17" ht="18" customHeight="1">
      <c r="B16" s="58"/>
      <c r="C16" s="1095" t="s">
        <v>206</v>
      </c>
      <c r="D16" s="1095"/>
      <c r="E16" s="1095"/>
      <c r="F16" s="1095"/>
      <c r="G16" s="1095"/>
      <c r="H16" s="1095"/>
      <c r="I16" s="1095"/>
      <c r="J16" s="1095"/>
      <c r="K16" s="1095"/>
      <c r="L16" s="1095"/>
      <c r="M16" s="52"/>
      <c r="N16" s="54"/>
    </row>
    <row r="17" spans="2:14" ht="18" customHeight="1">
      <c r="B17" s="196">
        <v>1</v>
      </c>
      <c r="C17" s="190" t="s">
        <v>196</v>
      </c>
      <c r="D17" s="175" t="s">
        <v>204</v>
      </c>
      <c r="E17" s="1090">
        <v>500</v>
      </c>
      <c r="F17" s="1091"/>
      <c r="G17" s="175" t="s">
        <v>202</v>
      </c>
      <c r="H17" s="1090">
        <v>1200</v>
      </c>
      <c r="I17" s="1091"/>
      <c r="J17" s="1100" t="s">
        <v>203</v>
      </c>
      <c r="K17" s="1101"/>
      <c r="L17" s="173">
        <v>8</v>
      </c>
      <c r="M17" s="147"/>
      <c r="N17" s="156"/>
    </row>
    <row r="18" spans="2:14" ht="18" customHeight="1">
      <c r="B18" s="196">
        <v>4</v>
      </c>
      <c r="C18" s="191" t="s">
        <v>197</v>
      </c>
      <c r="D18" s="177" t="s">
        <v>204</v>
      </c>
      <c r="E18" s="1092">
        <v>500</v>
      </c>
      <c r="F18" s="1093"/>
      <c r="G18" s="177" t="s">
        <v>202</v>
      </c>
      <c r="H18" s="1092">
        <v>500</v>
      </c>
      <c r="I18" s="1093"/>
      <c r="J18" s="1100" t="s">
        <v>203</v>
      </c>
      <c r="K18" s="1101"/>
      <c r="L18" s="174">
        <v>8</v>
      </c>
      <c r="M18" s="147"/>
      <c r="N18" s="156"/>
    </row>
    <row r="19" spans="2:14" ht="18" customHeight="1">
      <c r="B19" s="196">
        <v>3</v>
      </c>
      <c r="C19" s="192" t="s">
        <v>198</v>
      </c>
      <c r="D19" s="177" t="s">
        <v>204</v>
      </c>
      <c r="E19" s="1092">
        <v>500</v>
      </c>
      <c r="F19" s="1093"/>
      <c r="G19" s="177" t="s">
        <v>202</v>
      </c>
      <c r="H19" s="1092">
        <v>500</v>
      </c>
      <c r="I19" s="1093"/>
      <c r="J19" s="1100" t="s">
        <v>203</v>
      </c>
      <c r="K19" s="1101"/>
      <c r="L19" s="174">
        <v>8</v>
      </c>
      <c r="M19" s="147"/>
      <c r="N19" s="156"/>
    </row>
    <row r="20" spans="2:14" ht="18" customHeight="1">
      <c r="B20" s="196">
        <v>2</v>
      </c>
      <c r="C20" s="189" t="s">
        <v>199</v>
      </c>
      <c r="D20" s="177" t="s">
        <v>204</v>
      </c>
      <c r="E20" s="1092">
        <v>500</v>
      </c>
      <c r="F20" s="1093"/>
      <c r="G20" s="177" t="s">
        <v>202</v>
      </c>
      <c r="H20" s="1092">
        <v>600</v>
      </c>
      <c r="I20" s="1093"/>
      <c r="J20" s="1100" t="s">
        <v>203</v>
      </c>
      <c r="K20" s="1101"/>
      <c r="L20" s="174">
        <v>8</v>
      </c>
      <c r="M20" s="147"/>
      <c r="N20" s="156"/>
    </row>
    <row r="21" spans="2:14" ht="18" customHeight="1">
      <c r="B21" s="148"/>
      <c r="C21" s="176"/>
      <c r="D21" s="177"/>
      <c r="E21" s="178"/>
      <c r="F21" s="179"/>
      <c r="G21" s="177"/>
      <c r="H21" s="178"/>
      <c r="I21" s="179"/>
      <c r="J21" s="180"/>
      <c r="K21" s="176"/>
      <c r="L21" s="174"/>
      <c r="M21" s="147"/>
      <c r="N21" s="156"/>
    </row>
    <row r="22" spans="2:14" ht="18" customHeight="1">
      <c r="B22" s="148"/>
      <c r="C22" s="1094"/>
      <c r="D22" s="1094"/>
      <c r="E22" s="1094"/>
      <c r="F22" s="1094"/>
      <c r="G22" s="1094"/>
      <c r="H22" s="1094"/>
      <c r="I22" s="1094"/>
      <c r="J22" s="1094"/>
      <c r="K22" s="1094"/>
      <c r="L22" s="1094"/>
      <c r="M22" s="147"/>
      <c r="N22" s="156"/>
    </row>
    <row r="23" spans="2:14" ht="18" customHeight="1">
      <c r="B23" s="51"/>
      <c r="C23" s="1095" t="s">
        <v>207</v>
      </c>
      <c r="D23" s="1095"/>
      <c r="E23" s="1095"/>
      <c r="F23" s="1095"/>
      <c r="G23" s="1095"/>
      <c r="H23" s="1095"/>
      <c r="I23" s="1095"/>
      <c r="J23" s="1095"/>
      <c r="K23" s="1095"/>
      <c r="L23" s="1095"/>
      <c r="M23" s="52"/>
      <c r="N23" s="54"/>
    </row>
    <row r="24" spans="2:14" ht="18" customHeight="1">
      <c r="B24" s="185" t="s">
        <v>196</v>
      </c>
      <c r="C24" s="194">
        <v>0.83889999999999998</v>
      </c>
      <c r="D24" s="193">
        <v>29</v>
      </c>
      <c r="E24" s="186" t="s">
        <v>197</v>
      </c>
      <c r="F24" s="194">
        <v>0.74380000000000002</v>
      </c>
      <c r="G24" s="193">
        <v>22</v>
      </c>
      <c r="H24" s="187" t="s">
        <v>198</v>
      </c>
      <c r="I24" s="194">
        <v>0.75290000000000001</v>
      </c>
      <c r="J24" s="193">
        <v>24</v>
      </c>
      <c r="K24" s="188" t="s">
        <v>199</v>
      </c>
      <c r="L24" s="195">
        <v>0.873</v>
      </c>
      <c r="M24" s="1102">
        <v>26.5</v>
      </c>
      <c r="N24" s="1103"/>
    </row>
    <row r="25" spans="2:14" ht="18" customHeight="1">
      <c r="B25" s="51"/>
      <c r="C25" s="1094"/>
      <c r="D25" s="1094"/>
      <c r="E25" s="1094"/>
      <c r="F25" s="1094"/>
      <c r="G25" s="1094"/>
      <c r="H25" s="1094"/>
      <c r="I25" s="1094"/>
      <c r="J25" s="1094"/>
      <c r="K25" s="1094"/>
      <c r="L25" s="1094"/>
      <c r="M25" s="52"/>
      <c r="N25" s="54"/>
    </row>
    <row r="26" spans="2:14" ht="18" customHeight="1">
      <c r="B26" s="51"/>
      <c r="C26" s="1094" t="s">
        <v>209</v>
      </c>
      <c r="D26" s="1094"/>
      <c r="E26" s="1094"/>
      <c r="F26" s="1094"/>
      <c r="G26" s="1094"/>
      <c r="H26" s="1094"/>
      <c r="I26" s="1094"/>
      <c r="J26" s="1094"/>
      <c r="K26" s="1094"/>
      <c r="L26" s="1094"/>
      <c r="M26" s="52"/>
      <c r="N26" s="54"/>
    </row>
    <row r="27" spans="2:14" ht="18" customHeight="1">
      <c r="B27" s="51"/>
      <c r="C27" s="1094" t="s">
        <v>210</v>
      </c>
      <c r="D27" s="1094"/>
      <c r="E27" s="1094"/>
      <c r="F27" s="1094"/>
      <c r="G27" s="1094"/>
      <c r="H27" s="1094"/>
      <c r="I27" s="1094"/>
      <c r="J27" s="1094"/>
      <c r="K27" s="1094"/>
      <c r="L27" s="1094"/>
      <c r="M27" s="52"/>
      <c r="N27" s="54"/>
    </row>
    <row r="28" spans="2:14" ht="18" customHeight="1">
      <c r="B28" s="51"/>
      <c r="C28" s="1094" t="s">
        <v>211</v>
      </c>
      <c r="D28" s="1094"/>
      <c r="E28" s="1094"/>
      <c r="F28" s="1094"/>
      <c r="G28" s="1094"/>
      <c r="H28" s="1094"/>
      <c r="I28" s="1094"/>
      <c r="J28" s="1094"/>
      <c r="K28" s="1094"/>
      <c r="L28" s="1094"/>
      <c r="M28" s="52"/>
      <c r="N28" s="54"/>
    </row>
    <row r="29" spans="2:14" ht="18" customHeight="1">
      <c r="B29" s="51"/>
      <c r="C29" s="1094" t="s">
        <v>212</v>
      </c>
      <c r="D29" s="1094"/>
      <c r="E29" s="1094"/>
      <c r="F29" s="1094"/>
      <c r="G29" s="1094"/>
      <c r="H29" s="1094"/>
      <c r="I29" s="1094"/>
      <c r="J29" s="1094"/>
      <c r="K29" s="1094"/>
      <c r="L29" s="1094"/>
      <c r="M29" s="52"/>
      <c r="N29" s="54"/>
    </row>
    <row r="30" spans="2:14" ht="18" customHeight="1">
      <c r="B30" s="140"/>
      <c r="C30" s="1094"/>
      <c r="D30" s="1094"/>
      <c r="E30" s="1094"/>
      <c r="F30" s="1094"/>
      <c r="G30" s="1094"/>
      <c r="H30" s="1094"/>
      <c r="I30" s="1094"/>
      <c r="J30" s="1094"/>
      <c r="K30" s="1094"/>
      <c r="L30" s="1094"/>
      <c r="M30" s="146"/>
      <c r="N30" s="153"/>
    </row>
    <row r="31" spans="2:14" ht="18" customHeight="1">
      <c r="B31" s="182"/>
      <c r="C31" s="1094" t="s">
        <v>213</v>
      </c>
      <c r="D31" s="1094"/>
      <c r="E31" s="1094"/>
      <c r="F31" s="1094"/>
      <c r="G31" s="1094"/>
      <c r="H31" s="1094"/>
      <c r="I31" s="1094"/>
      <c r="J31" s="1094"/>
      <c r="K31" s="1094"/>
      <c r="L31" s="1094"/>
      <c r="M31" s="181"/>
      <c r="N31" s="183"/>
    </row>
    <row r="32" spans="2:14" ht="15.75" customHeight="1">
      <c r="B32" s="182"/>
      <c r="C32" s="1094" t="s">
        <v>214</v>
      </c>
      <c r="D32" s="1094"/>
      <c r="E32" s="1094"/>
      <c r="F32" s="1094"/>
      <c r="G32" s="1094"/>
      <c r="H32" s="1094"/>
      <c r="I32" s="1094"/>
      <c r="J32" s="1094"/>
      <c r="K32" s="1094"/>
      <c r="L32" s="1094"/>
      <c r="M32" s="181"/>
      <c r="N32" s="183"/>
    </row>
    <row r="33" spans="2:14" ht="18" customHeight="1">
      <c r="B33" s="182"/>
      <c r="C33" s="1094"/>
      <c r="D33" s="1094"/>
      <c r="E33" s="1094"/>
      <c r="F33" s="1094"/>
      <c r="G33" s="1094"/>
      <c r="H33" s="1094"/>
      <c r="I33" s="1094"/>
      <c r="J33" s="1094"/>
      <c r="K33" s="1094"/>
      <c r="L33" s="1094"/>
      <c r="M33" s="181"/>
      <c r="N33" s="183"/>
    </row>
    <row r="34" spans="2:14" ht="18" customHeight="1">
      <c r="B34" s="182"/>
      <c r="C34" s="1094" t="s">
        <v>215</v>
      </c>
      <c r="D34" s="1094"/>
      <c r="E34" s="1094"/>
      <c r="F34" s="1094"/>
      <c r="G34" s="1094"/>
      <c r="H34" s="1094"/>
      <c r="I34" s="1094"/>
      <c r="J34" s="1094"/>
      <c r="K34" s="1094"/>
      <c r="L34" s="1094"/>
      <c r="M34" s="181"/>
      <c r="N34" s="183"/>
    </row>
    <row r="35" spans="2:14" ht="18" customHeight="1">
      <c r="B35" s="182"/>
      <c r="C35" s="1094"/>
      <c r="D35" s="1094"/>
      <c r="E35" s="1094"/>
      <c r="F35" s="1094"/>
      <c r="G35" s="1094"/>
      <c r="H35" s="1094"/>
      <c r="I35" s="1094"/>
      <c r="J35" s="1094"/>
      <c r="K35" s="1094"/>
      <c r="L35" s="1094"/>
      <c r="M35" s="181"/>
      <c r="N35" s="183"/>
    </row>
    <row r="36" spans="2:14" ht="18" customHeight="1">
      <c r="B36" s="182"/>
      <c r="C36" s="1094"/>
      <c r="D36" s="1094"/>
      <c r="E36" s="1094"/>
      <c r="F36" s="1094"/>
      <c r="G36" s="1094"/>
      <c r="H36" s="1094"/>
      <c r="I36" s="1094"/>
      <c r="J36" s="1094"/>
      <c r="K36" s="1094"/>
      <c r="L36" s="1094"/>
      <c r="M36" s="181"/>
      <c r="N36" s="183"/>
    </row>
    <row r="37" spans="2:14" ht="18" customHeight="1">
      <c r="B37" s="182"/>
      <c r="C37" s="1094"/>
      <c r="D37" s="1094"/>
      <c r="E37" s="1094"/>
      <c r="F37" s="1094"/>
      <c r="G37" s="1094"/>
      <c r="H37" s="1094"/>
      <c r="I37" s="1094"/>
      <c r="J37" s="1094"/>
      <c r="K37" s="1094"/>
      <c r="L37" s="1094"/>
      <c r="M37" s="181"/>
      <c r="N37" s="183"/>
    </row>
    <row r="38" spans="2:14" ht="18" customHeight="1">
      <c r="B38" s="182"/>
      <c r="C38" s="1094"/>
      <c r="D38" s="1094"/>
      <c r="E38" s="1094"/>
      <c r="F38" s="1094"/>
      <c r="G38" s="1094"/>
      <c r="H38" s="1094"/>
      <c r="I38" s="1094"/>
      <c r="J38" s="1094"/>
      <c r="K38" s="1094"/>
      <c r="L38" s="1094"/>
      <c r="M38" s="181"/>
      <c r="N38" s="183"/>
    </row>
    <row r="39" spans="2:14" ht="18" customHeight="1">
      <c r="B39" s="182"/>
      <c r="C39" s="1094"/>
      <c r="D39" s="1094"/>
      <c r="E39" s="1094"/>
      <c r="F39" s="1094"/>
      <c r="G39" s="1094"/>
      <c r="H39" s="1094"/>
      <c r="I39" s="1094"/>
      <c r="J39" s="1094"/>
      <c r="K39" s="1094"/>
      <c r="L39" s="1094"/>
      <c r="M39" s="181"/>
      <c r="N39" s="183"/>
    </row>
    <row r="40" spans="2:14" ht="18" customHeight="1">
      <c r="B40" s="182"/>
      <c r="C40" s="1094"/>
      <c r="D40" s="1094"/>
      <c r="E40" s="1094"/>
      <c r="F40" s="1094"/>
      <c r="G40" s="1094"/>
      <c r="H40" s="1094"/>
      <c r="I40" s="1094"/>
      <c r="J40" s="1094"/>
      <c r="K40" s="1094"/>
      <c r="L40" s="1094"/>
      <c r="M40" s="181"/>
      <c r="N40" s="183"/>
    </row>
    <row r="41" spans="2:14" ht="15.75" customHeight="1">
      <c r="B41" s="182"/>
      <c r="C41" s="1094"/>
      <c r="D41" s="1094"/>
      <c r="E41" s="1094"/>
      <c r="F41" s="1094"/>
      <c r="G41" s="1094"/>
      <c r="H41" s="1094"/>
      <c r="I41" s="1094"/>
      <c r="J41" s="1094"/>
      <c r="K41" s="1094"/>
      <c r="L41" s="1094"/>
      <c r="M41" s="181"/>
      <c r="N41" s="183"/>
    </row>
    <row r="42" spans="2:14" ht="18" customHeight="1">
      <c r="B42" s="182"/>
      <c r="C42" s="1094"/>
      <c r="D42" s="1094"/>
      <c r="E42" s="1094"/>
      <c r="F42" s="1094"/>
      <c r="G42" s="1094"/>
      <c r="H42" s="1094"/>
      <c r="I42" s="1094"/>
      <c r="J42" s="1094"/>
      <c r="K42" s="1094"/>
      <c r="L42" s="1094"/>
      <c r="M42" s="181"/>
      <c r="N42" s="183"/>
    </row>
    <row r="43" spans="2:14" ht="18" customHeight="1">
      <c r="B43" s="182"/>
      <c r="C43" s="1094"/>
      <c r="D43" s="1094"/>
      <c r="E43" s="1094"/>
      <c r="F43" s="1094"/>
      <c r="G43" s="1094"/>
      <c r="H43" s="1094"/>
      <c r="I43" s="1094"/>
      <c r="J43" s="1094"/>
      <c r="K43" s="1094"/>
      <c r="L43" s="1094"/>
      <c r="M43" s="181"/>
      <c r="N43" s="183"/>
    </row>
    <row r="44" spans="2:14" ht="18" customHeight="1">
      <c r="B44" s="182"/>
      <c r="C44" s="1094"/>
      <c r="D44" s="1094"/>
      <c r="E44" s="1094"/>
      <c r="F44" s="1094"/>
      <c r="G44" s="1094"/>
      <c r="H44" s="1094"/>
      <c r="I44" s="1094"/>
      <c r="J44" s="1094"/>
      <c r="K44" s="1094"/>
      <c r="L44" s="1094"/>
      <c r="M44" s="181"/>
      <c r="N44" s="183"/>
    </row>
    <row r="45" spans="2:14" ht="18" customHeight="1">
      <c r="B45" s="58"/>
      <c r="C45" s="55"/>
      <c r="D45" s="55"/>
      <c r="E45" s="55"/>
      <c r="F45" s="55"/>
      <c r="G45" s="55"/>
      <c r="H45" s="55"/>
      <c r="I45" s="55"/>
      <c r="J45" s="52"/>
      <c r="K45" s="52"/>
      <c r="L45" s="52"/>
      <c r="M45" s="52"/>
      <c r="N45" s="54"/>
    </row>
    <row r="46" spans="2:14" ht="18" customHeight="1">
      <c r="B46" s="51"/>
      <c r="C46" s="52"/>
      <c r="D46" s="52"/>
      <c r="E46" s="52"/>
      <c r="F46" s="52"/>
      <c r="G46" s="52"/>
      <c r="H46" s="52"/>
      <c r="I46" s="52"/>
      <c r="J46" s="52"/>
      <c r="K46" s="52"/>
      <c r="L46" s="52"/>
      <c r="M46" s="52"/>
      <c r="N46" s="54"/>
    </row>
    <row r="47" spans="2:14" ht="18" customHeight="1">
      <c r="B47" s="51"/>
      <c r="C47" s="52"/>
      <c r="D47" s="52"/>
      <c r="E47" s="141"/>
      <c r="F47" s="52"/>
      <c r="G47" s="687"/>
      <c r="H47" s="687"/>
      <c r="I47" s="687"/>
      <c r="J47" s="687"/>
      <c r="K47" s="52"/>
      <c r="L47" s="687"/>
      <c r="M47" s="687"/>
      <c r="N47" s="692"/>
    </row>
    <row r="48" spans="2:14" ht="18" customHeight="1">
      <c r="B48" s="51"/>
      <c r="C48" s="52"/>
      <c r="D48" s="52"/>
      <c r="E48" s="52"/>
      <c r="F48" s="52"/>
      <c r="G48" s="142" t="s">
        <v>86</v>
      </c>
      <c r="H48" s="142"/>
      <c r="I48" s="142"/>
      <c r="J48" s="142"/>
      <c r="K48" s="52"/>
      <c r="L48" s="1085" t="s">
        <v>87</v>
      </c>
      <c r="M48" s="1085"/>
      <c r="N48" s="1086"/>
    </row>
    <row r="49" spans="2:14" ht="18" customHeight="1" thickBot="1">
      <c r="B49" s="184"/>
      <c r="C49" s="62"/>
      <c r="D49" s="62"/>
      <c r="E49" s="62"/>
      <c r="F49" s="62"/>
      <c r="G49" s="62"/>
      <c r="H49" s="62"/>
      <c r="I49" s="62"/>
      <c r="J49" s="62"/>
      <c r="K49" s="62"/>
      <c r="L49" s="62"/>
      <c r="M49" s="62"/>
      <c r="N49" s="63"/>
    </row>
    <row r="50" spans="2:14" ht="3.75" customHeight="1" thickBot="1">
      <c r="B50" s="61"/>
      <c r="C50" s="62"/>
      <c r="D50" s="62"/>
      <c r="E50" s="62"/>
      <c r="F50" s="62"/>
      <c r="G50" s="62"/>
      <c r="H50" s="62"/>
      <c r="I50" s="62"/>
      <c r="J50" s="62"/>
      <c r="K50" s="62"/>
      <c r="L50" s="62"/>
      <c r="M50" s="62"/>
      <c r="N50" s="63"/>
    </row>
    <row r="51" spans="2:14" ht="9" customHeight="1"/>
    <row r="52" spans="2:14" ht="18" hidden="1" customHeight="1"/>
    <row r="53" spans="2:14" ht="18" hidden="1" customHeight="1"/>
    <row r="54" spans="2:14" ht="18" hidden="1" customHeight="1"/>
    <row r="55" spans="2:14" ht="18" hidden="1" customHeight="1"/>
    <row r="56" spans="2:14" ht="18" hidden="1" customHeight="1"/>
    <row r="57" spans="2:14" ht="18" hidden="1" customHeight="1"/>
    <row r="58" spans="2:14" ht="18" hidden="1" customHeight="1"/>
    <row r="59" spans="2:14" ht="18" hidden="1" customHeight="1"/>
    <row r="60" spans="2:14" ht="18" hidden="1" customHeight="1"/>
    <row r="61" spans="2:14" ht="18" hidden="1" customHeight="1"/>
    <row r="62" spans="2:14" ht="18" hidden="1" customHeight="1"/>
    <row r="63" spans="2:14" ht="18" hidden="1" customHeight="1"/>
    <row r="64" spans="2:14" ht="18" hidden="1" customHeight="1"/>
    <row r="65" ht="18" hidden="1" customHeight="1"/>
    <row r="66" ht="18" hidden="1" customHeight="1"/>
    <row r="67" ht="18" hidden="1" customHeight="1"/>
    <row r="68" ht="18" hidden="1" customHeight="1"/>
    <row r="69" ht="18" hidden="1" customHeight="1"/>
    <row r="70" ht="18" hidden="1" customHeight="1"/>
    <row r="71" ht="18" hidden="1" customHeight="1"/>
    <row r="72" ht="18" hidden="1" customHeight="1"/>
    <row r="73" ht="18" hidden="1" customHeight="1"/>
    <row r="74" ht="18" hidden="1" customHeight="1"/>
    <row r="75" ht="18" hidden="1" customHeight="1"/>
    <row r="76" ht="18" hidden="1" customHeight="1"/>
    <row r="77" ht="18" hidden="1" customHeight="1"/>
    <row r="78" ht="18" hidden="1" customHeight="1"/>
    <row r="79" ht="18" hidden="1" customHeight="1"/>
    <row r="80" ht="18" hidden="1" customHeight="1"/>
    <row r="81" ht="18" hidden="1" customHeight="1"/>
    <row r="82" ht="18" hidden="1" customHeight="1"/>
    <row r="83" ht="18" hidden="1" customHeight="1"/>
    <row r="84" ht="18" hidden="1" customHeight="1"/>
    <row r="85" ht="18" hidden="1" customHeight="1"/>
    <row r="86" ht="18" hidden="1" customHeight="1"/>
    <row r="87" ht="18" hidden="1" customHeight="1"/>
    <row r="88" ht="18" hidden="1" customHeight="1"/>
    <row r="89" ht="18" hidden="1" customHeight="1"/>
    <row r="90" ht="18" hidden="1" customHeight="1"/>
    <row r="91" ht="18" hidden="1" customHeight="1"/>
    <row r="92" ht="18" hidden="1" customHeight="1"/>
    <row r="93" ht="18" hidden="1" customHeight="1"/>
    <row r="94" ht="18" hidden="1" customHeight="1"/>
    <row r="95" ht="18" hidden="1" customHeight="1"/>
    <row r="96" ht="18" hidden="1" customHeight="1"/>
    <row r="97" ht="18" hidden="1" customHeight="1"/>
    <row r="98" ht="18" hidden="1" customHeight="1"/>
    <row r="99" ht="18" hidden="1" customHeight="1"/>
    <row r="100" ht="18" hidden="1" customHeight="1"/>
    <row r="101" ht="18" hidden="1" customHeight="1"/>
    <row r="102" ht="18" hidden="1" customHeight="1"/>
    <row r="103" ht="18" hidden="1" customHeight="1"/>
    <row r="104" ht="18" hidden="1" customHeight="1"/>
    <row r="105" ht="18" hidden="1" customHeight="1"/>
    <row r="106" ht="18" hidden="1" customHeight="1"/>
    <row r="107" ht="18" hidden="1" customHeight="1"/>
    <row r="108" ht="18" hidden="1" customHeight="1"/>
    <row r="109" ht="18" hidden="1" customHeight="1"/>
    <row r="110" ht="18" hidden="1" customHeight="1"/>
    <row r="111" ht="18" hidden="1" customHeight="1"/>
    <row r="112" ht="18" hidden="1" customHeight="1"/>
    <row r="113" ht="18" hidden="1" customHeight="1"/>
    <row r="114" ht="18" hidden="1" customHeight="1"/>
    <row r="115" ht="18" hidden="1" customHeight="1"/>
    <row r="116" ht="18" hidden="1" customHeight="1"/>
    <row r="117" ht="18" hidden="1" customHeight="1"/>
    <row r="118" ht="18" hidden="1" customHeight="1"/>
    <row r="119" ht="18" hidden="1" customHeight="1"/>
    <row r="120" ht="18" hidden="1" customHeight="1"/>
    <row r="121" ht="18" hidden="1" customHeight="1"/>
    <row r="122" ht="18" hidden="1" customHeight="1"/>
    <row r="123" ht="18" hidden="1" customHeight="1"/>
    <row r="124" ht="18" hidden="1" customHeight="1"/>
    <row r="125" ht="18" hidden="1" customHeight="1"/>
    <row r="126" ht="18" hidden="1" customHeight="1"/>
    <row r="127" ht="18" hidden="1" customHeight="1"/>
    <row r="128" ht="18" hidden="1" customHeight="1"/>
    <row r="129" ht="18" hidden="1" customHeight="1"/>
    <row r="130" ht="18" hidden="1" customHeight="1"/>
    <row r="131" ht="18" hidden="1" customHeight="1"/>
    <row r="132" ht="18" hidden="1" customHeight="1"/>
    <row r="133" ht="18" hidden="1" customHeight="1"/>
    <row r="134" ht="18" hidden="1" customHeight="1"/>
    <row r="135" ht="18" hidden="1" customHeight="1"/>
    <row r="136" ht="18" hidden="1" customHeight="1"/>
    <row r="137" ht="18" hidden="1" customHeight="1"/>
    <row r="138" ht="18" hidden="1" customHeight="1"/>
    <row r="139" ht="18" hidden="1" customHeight="1"/>
    <row r="140" ht="18" hidden="1" customHeight="1"/>
    <row r="141" ht="18" hidden="1" customHeight="1"/>
    <row r="142" ht="18" hidden="1" customHeight="1"/>
    <row r="143" ht="18" hidden="1" customHeight="1"/>
    <row r="144" ht="18" hidden="1" customHeight="1"/>
    <row r="145" ht="18" hidden="1" customHeight="1"/>
    <row r="146" ht="18" hidden="1" customHeight="1"/>
    <row r="147" ht="18" hidden="1" customHeight="1"/>
    <row r="148" ht="18" hidden="1" customHeight="1"/>
    <row r="149" ht="18" hidden="1" customHeight="1"/>
    <row r="150" ht="18" hidden="1" customHeight="1"/>
    <row r="151" ht="18" hidden="1" customHeight="1"/>
    <row r="152" ht="18" hidden="1" customHeight="1"/>
    <row r="153" ht="18" hidden="1" customHeight="1"/>
    <row r="154" ht="18" hidden="1" customHeight="1"/>
    <row r="155" ht="18" hidden="1" customHeight="1"/>
    <row r="156" ht="18" hidden="1" customHeight="1"/>
    <row r="157" ht="18" hidden="1" customHeight="1"/>
    <row r="158" ht="18" hidden="1" customHeight="1"/>
    <row r="159" ht="18" hidden="1" customHeight="1"/>
    <row r="160" ht="18" hidden="1" customHeight="1"/>
    <row r="161" ht="18" hidden="1" customHeight="1"/>
    <row r="162" ht="18" hidden="1" customHeight="1"/>
    <row r="163" ht="18" hidden="1" customHeight="1"/>
    <row r="164" ht="18" hidden="1" customHeight="1"/>
    <row r="165" ht="18" hidden="1" customHeight="1"/>
    <row r="166" ht="18" hidden="1" customHeight="1"/>
    <row r="167" ht="18" hidden="1" customHeight="1"/>
    <row r="168" ht="18" hidden="1" customHeight="1"/>
    <row r="169" ht="18" hidden="1" customHeight="1"/>
    <row r="170" ht="18" hidden="1" customHeight="1"/>
    <row r="171" ht="18" hidden="1" customHeight="1"/>
    <row r="172" ht="18" hidden="1" customHeight="1"/>
    <row r="173" ht="18" hidden="1" customHeight="1"/>
    <row r="174" ht="18" hidden="1" customHeight="1"/>
    <row r="175" ht="18" hidden="1" customHeight="1"/>
    <row r="176" ht="18" hidden="1" customHeight="1"/>
    <row r="177" ht="18" hidden="1" customHeight="1"/>
    <row r="178" ht="18" hidden="1" customHeight="1"/>
    <row r="179" ht="18" hidden="1" customHeight="1"/>
    <row r="180" ht="18" hidden="1" customHeight="1"/>
    <row r="181" ht="18" hidden="1" customHeight="1"/>
    <row r="182" ht="18" hidden="1" customHeight="1"/>
    <row r="183" ht="18" hidden="1" customHeight="1"/>
    <row r="184" ht="18" hidden="1" customHeight="1"/>
    <row r="185" ht="18" hidden="1" customHeight="1"/>
    <row r="186" ht="18" hidden="1" customHeight="1"/>
    <row r="187" ht="18" hidden="1" customHeight="1"/>
    <row r="188" ht="18" hidden="1" customHeight="1"/>
    <row r="189" ht="18" hidden="1" customHeight="1"/>
    <row r="190" ht="18" hidden="1" customHeight="1"/>
    <row r="191" ht="18" hidden="1" customHeight="1"/>
    <row r="192" ht="18" hidden="1" customHeight="1"/>
    <row r="193" ht="18" hidden="1" customHeight="1"/>
    <row r="194" ht="12.75" customHeight="1"/>
  </sheetData>
  <mergeCells count="61">
    <mergeCell ref="C42:L42"/>
    <mergeCell ref="C43:L43"/>
    <mergeCell ref="C44:L44"/>
    <mergeCell ref="M24:N24"/>
    <mergeCell ref="C30:L30"/>
    <mergeCell ref="C31:L31"/>
    <mergeCell ref="C32:L32"/>
    <mergeCell ref="C33:L33"/>
    <mergeCell ref="C34:L34"/>
    <mergeCell ref="C35:L35"/>
    <mergeCell ref="C36:L36"/>
    <mergeCell ref="C37:L37"/>
    <mergeCell ref="C38:L38"/>
    <mergeCell ref="C39:L39"/>
    <mergeCell ref="C40:L40"/>
    <mergeCell ref="C41:L41"/>
    <mergeCell ref="J11:K11"/>
    <mergeCell ref="J12:K12"/>
    <mergeCell ref="J13:K13"/>
    <mergeCell ref="C10:L10"/>
    <mergeCell ref="E14:F14"/>
    <mergeCell ref="H14:I14"/>
    <mergeCell ref="J14:K14"/>
    <mergeCell ref="C15:L15"/>
    <mergeCell ref="C16:L16"/>
    <mergeCell ref="E18:F18"/>
    <mergeCell ref="H18:I18"/>
    <mergeCell ref="J18:K18"/>
    <mergeCell ref="E19:F19"/>
    <mergeCell ref="H19:I19"/>
    <mergeCell ref="J19:K19"/>
    <mergeCell ref="H17:I17"/>
    <mergeCell ref="J17:K17"/>
    <mergeCell ref="C25:L25"/>
    <mergeCell ref="C26:L26"/>
    <mergeCell ref="E20:F20"/>
    <mergeCell ref="H20:I20"/>
    <mergeCell ref="J20:K20"/>
    <mergeCell ref="E2:K3"/>
    <mergeCell ref="C5:E5"/>
    <mergeCell ref="G5:J5"/>
    <mergeCell ref="M5:N5"/>
    <mergeCell ref="C7:E7"/>
    <mergeCell ref="G7:J7"/>
    <mergeCell ref="M7:N7"/>
    <mergeCell ref="L48:N48"/>
    <mergeCell ref="B9:N9"/>
    <mergeCell ref="G47:J47"/>
    <mergeCell ref="L47:N47"/>
    <mergeCell ref="H11:I11"/>
    <mergeCell ref="H12:I12"/>
    <mergeCell ref="H13:I13"/>
    <mergeCell ref="E11:F11"/>
    <mergeCell ref="E12:F12"/>
    <mergeCell ref="E13:F13"/>
    <mergeCell ref="C27:L27"/>
    <mergeCell ref="C28:L28"/>
    <mergeCell ref="C29:L29"/>
    <mergeCell ref="C22:L22"/>
    <mergeCell ref="C23:L23"/>
    <mergeCell ref="E17:F17"/>
  </mergeCells>
  <dataValidations count="1">
    <dataValidation type="list" allowBlank="1" showInputMessage="1" showErrorMessage="1" sqref="E47" xr:uid="{00000000-0002-0000-2000-000000000000}">
      <formula1>"YES, NO"</formula1>
    </dataValidation>
  </dataValidations>
  <pageMargins left="0.25" right="0.25" top="1" bottom="1" header="0.25" footer="0.25"/>
  <pageSetup paperSize="9" scale="83" fitToHeight="0"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e5c780d-338c-4d47-9d67-22550b950239">
      <Terms xmlns="http://schemas.microsoft.com/office/infopath/2007/PartnerControls"/>
    </lcf76f155ced4ddcb4097134ff3c332f>
    <TaxCatchAll xmlns="43457e15-910f-4802-b545-98fc9980118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B0DC0997B26E94AB33D99351DB30BC1" ma:contentTypeVersion="18" ma:contentTypeDescription="Crée un document." ma:contentTypeScope="" ma:versionID="5293658dd8e8a2751f7c6ec66c4b2856">
  <xsd:schema xmlns:xsd="http://www.w3.org/2001/XMLSchema" xmlns:xs="http://www.w3.org/2001/XMLSchema" xmlns:p="http://schemas.microsoft.com/office/2006/metadata/properties" xmlns:ns2="de5c780d-338c-4d47-9d67-22550b950239" xmlns:ns3="43457e15-910f-4802-b545-98fc99801188" targetNamespace="http://schemas.microsoft.com/office/2006/metadata/properties" ma:root="true" ma:fieldsID="c4df510d6371e033e25436a98d4cc3e8" ns2:_="" ns3:_="">
    <xsd:import namespace="de5c780d-338c-4d47-9d67-22550b950239"/>
    <xsd:import namespace="43457e15-910f-4802-b545-98fc9980118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LengthInSeconds" minOccurs="0"/>
                <xsd:element ref="ns2:MediaServiceAutoKeyPoints" minOccurs="0"/>
                <xsd:element ref="ns2:MediaServiceKeyPoint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5c780d-338c-4d47-9d67-22550b9502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b613ce74-bd0a-4672-a9ac-7f54425848a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457e15-910f-4802-b545-98fc99801188" elementFormDefault="qualified">
    <xsd:import namespace="http://schemas.microsoft.com/office/2006/documentManagement/types"/>
    <xsd:import namespace="http://schemas.microsoft.com/office/infopath/2007/PartnerControls"/>
    <xsd:element name="SharedWithUsers" ma:index="19"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Partagé avec détails" ma:internalName="SharedWithDetails" ma:readOnly="true">
      <xsd:simpleType>
        <xsd:restriction base="dms:Note">
          <xsd:maxLength value="255"/>
        </xsd:restriction>
      </xsd:simpleType>
    </xsd:element>
    <xsd:element name="TaxCatchAll" ma:index="23" nillable="true" ma:displayName="Taxonomy Catch All Column" ma:hidden="true" ma:list="{10f3eaaa-bbaf-4f5a-ace3-6adbfd7fe9e8}" ma:internalName="TaxCatchAll" ma:showField="CatchAllData" ma:web="43457e15-910f-4802-b545-98fc9980118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D908423-F912-4C1D-ACD7-F454DB1DE0CF}">
  <ds:schemaRefs>
    <ds:schemaRef ds:uri="http://schemas.microsoft.com/office/2006/metadata/properties"/>
    <ds:schemaRef ds:uri="http://schemas.microsoft.com/office/infopath/2007/PartnerControls"/>
    <ds:schemaRef ds:uri="de5c780d-338c-4d47-9d67-22550b950239"/>
    <ds:schemaRef ds:uri="43457e15-910f-4802-b545-98fc99801188"/>
  </ds:schemaRefs>
</ds:datastoreItem>
</file>

<file path=customXml/itemProps2.xml><?xml version="1.0" encoding="utf-8"?>
<ds:datastoreItem xmlns:ds="http://schemas.openxmlformats.org/officeDocument/2006/customXml" ds:itemID="{D3B0939D-4442-48AF-A588-79E9B46DA4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e5c780d-338c-4d47-9d67-22550b950239"/>
    <ds:schemaRef ds:uri="43457e15-910f-4802-b545-98fc998011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B1C7BEC-70E4-4D48-8061-7C6AD70E7EE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30</vt:i4>
      </vt:variant>
      <vt:variant>
        <vt:lpstr>Plages nommées</vt:lpstr>
      </vt:variant>
      <vt:variant>
        <vt:i4>20</vt:i4>
      </vt:variant>
    </vt:vector>
  </HeadingPairs>
  <TitlesOfParts>
    <vt:vector size="50" baseType="lpstr">
      <vt:lpstr>Data Entry</vt:lpstr>
      <vt:lpstr>SOF</vt:lpstr>
      <vt:lpstr>NOR</vt:lpstr>
      <vt:lpstr>NOR (MOGAS)</vt:lpstr>
      <vt:lpstr>NOR RT (MOGAS)</vt:lpstr>
      <vt:lpstr>NOR (GASOIL)</vt:lpstr>
      <vt:lpstr>NOR RT (GASOIL)</vt:lpstr>
      <vt:lpstr>NOR RT</vt:lpstr>
      <vt:lpstr>Holds Certificate</vt:lpstr>
      <vt:lpstr>KM1</vt:lpstr>
      <vt:lpstr>PUMPLOG (4)</vt:lpstr>
      <vt:lpstr>PUMPLOG (3)</vt:lpstr>
      <vt:lpstr>PUMPLOG (2)</vt:lpstr>
      <vt:lpstr>KM1 (ATLANTIS)</vt:lpstr>
      <vt:lpstr>KM1 (GERVAIS)</vt:lpstr>
      <vt:lpstr>Meeting</vt:lpstr>
      <vt:lpstr>Forklifts</vt:lpstr>
      <vt:lpstr>LOP FP</vt:lpstr>
      <vt:lpstr>LOP Delays</vt:lpstr>
      <vt:lpstr>LOP Document</vt:lpstr>
      <vt:lpstr>LOP Q-TY (Oxy)</vt:lpstr>
      <vt:lpstr>LOP Q-TY (G98)</vt:lpstr>
      <vt:lpstr>LOP Q-TY (BOB)</vt:lpstr>
      <vt:lpstr>LOP DELAYS (GASOLINE)</vt:lpstr>
      <vt:lpstr>LOP DELAYS (GASOIL)</vt:lpstr>
      <vt:lpstr>LOP Deadfreightg</vt:lpstr>
      <vt:lpstr>Other LOP</vt:lpstr>
      <vt:lpstr>Mate's Receipt</vt:lpstr>
      <vt:lpstr>PUMPLOG</vt:lpstr>
      <vt:lpstr>KEY MEETING (2)</vt:lpstr>
      <vt:lpstr>SOF!Impression_des_titres</vt:lpstr>
      <vt:lpstr>Forklifts!Zone_d_impression</vt:lpstr>
      <vt:lpstr>'Holds Certificate'!Zone_d_impression</vt:lpstr>
      <vt:lpstr>'LOP Deadfreightg'!Zone_d_impression</vt:lpstr>
      <vt:lpstr>'LOP Delays'!Zone_d_impression</vt:lpstr>
      <vt:lpstr>'LOP Document'!Zone_d_impression</vt:lpstr>
      <vt:lpstr>'LOP FP'!Zone_d_impression</vt:lpstr>
      <vt:lpstr>'LOP Q-TY (BOB)'!Zone_d_impression</vt:lpstr>
      <vt:lpstr>'LOP Q-TY (G98)'!Zone_d_impression</vt:lpstr>
      <vt:lpstr>'LOP Q-TY (Oxy)'!Zone_d_impression</vt:lpstr>
      <vt:lpstr>'Mate''s Receipt'!Zone_d_impression</vt:lpstr>
      <vt:lpstr>Meeting!Zone_d_impression</vt:lpstr>
      <vt:lpstr>NOR!Zone_d_impression</vt:lpstr>
      <vt:lpstr>'NOR (GASOIL)'!Zone_d_impression</vt:lpstr>
      <vt:lpstr>'NOR (MOGAS)'!Zone_d_impression</vt:lpstr>
      <vt:lpstr>'NOR RT'!Zone_d_impression</vt:lpstr>
      <vt:lpstr>'NOR RT (GASOIL)'!Zone_d_impression</vt:lpstr>
      <vt:lpstr>'NOR RT (MOGAS)'!Zone_d_impression</vt:lpstr>
      <vt:lpstr>'Other LOP'!Zone_d_impression</vt:lpstr>
      <vt:lpstr>SOF!Zone_d_impression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cargoroom</dc:creator>
  <cp:lastModifiedBy>Master Artemis</cp:lastModifiedBy>
  <cp:lastPrinted>2025-02-06T16:03:29Z</cp:lastPrinted>
  <dcterms:created xsi:type="dcterms:W3CDTF">2017-08-19T09:55:46Z</dcterms:created>
  <dcterms:modified xsi:type="dcterms:W3CDTF">2026-01-03T19:43:50Z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0x0101001B0DC0997B26E94AB33D99351DB30BC1</vt:lpwstr>
  </property>
  <property fmtid="{D5CDD505-2E9C-101B-9397-08002B2CF9AE}" pid="3" name="MediaServiceImageTags">
    <vt:lpwstr/>
  </property>
</Properties>
</file>